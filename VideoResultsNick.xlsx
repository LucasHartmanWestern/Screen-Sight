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nick_1/Desktop/University/1 - UWO Masters (2024 - ongoing)/Screen-Sight Paper/"/>
    </mc:Choice>
  </mc:AlternateContent>
  <xr:revisionPtr revIDLastSave="0" documentId="13_ncr:1_{34008A0D-BDBD-8C4B-A0F1-71F6C3C3CC36}" xr6:coauthVersionLast="47" xr6:coauthVersionMax="47" xr10:uidLastSave="{00000000-0000-0000-0000-000000000000}"/>
  <bookViews>
    <workbookView xWindow="-38400" yWindow="500" windowWidth="38400" windowHeight="21100" activeTab="2" xr2:uid="{08FD64ED-E66D-AB40-8BA8-4D60C0E42210}"/>
  </bookViews>
  <sheets>
    <sheet name="RawData" sheetId="1" r:id="rId1"/>
    <sheet name="Accuracy" sheetId="5" r:id="rId2"/>
    <sheet name="F1Score" sheetId="6" r:id="rId3"/>
    <sheet name="YoloImprovement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6" l="1"/>
  <c r="E14" i="6"/>
  <c r="E12" i="6"/>
  <c r="E11" i="6"/>
  <c r="C13" i="6"/>
  <c r="C14" i="6"/>
  <c r="C12" i="6"/>
  <c r="C11" i="6"/>
  <c r="D13" i="6"/>
  <c r="D14" i="6"/>
  <c r="D12" i="6"/>
  <c r="D11" i="6"/>
  <c r="B13" i="6"/>
  <c r="B14" i="6"/>
  <c r="B12" i="6"/>
  <c r="B11" i="6"/>
  <c r="E5" i="6"/>
  <c r="E6" i="6"/>
  <c r="E4" i="6"/>
  <c r="E3" i="6"/>
  <c r="C5" i="6"/>
  <c r="C6" i="6"/>
  <c r="C4" i="6"/>
  <c r="C3" i="6"/>
  <c r="D5" i="6"/>
  <c r="D6" i="6"/>
  <c r="D4" i="6"/>
  <c r="D3" i="6"/>
  <c r="B5" i="6"/>
  <c r="B6" i="6"/>
  <c r="B4" i="6"/>
  <c r="B3" i="6"/>
  <c r="E13" i="4"/>
  <c r="E14" i="4"/>
  <c r="E12" i="4"/>
  <c r="E11" i="4"/>
  <c r="D13" i="4"/>
  <c r="D14" i="4"/>
  <c r="D12" i="4"/>
  <c r="D11" i="4"/>
  <c r="C13" i="4"/>
  <c r="C14" i="4"/>
  <c r="C12" i="4"/>
  <c r="C11" i="4"/>
  <c r="B13" i="4"/>
  <c r="B14" i="4"/>
  <c r="B12" i="4"/>
  <c r="B11" i="4"/>
  <c r="E5" i="4"/>
  <c r="E6" i="4"/>
  <c r="D5" i="4"/>
  <c r="D6" i="4"/>
  <c r="C5" i="4"/>
  <c r="C6" i="4"/>
  <c r="B5" i="4"/>
  <c r="B6" i="4"/>
  <c r="E4" i="4"/>
  <c r="D4" i="4"/>
  <c r="E3" i="4"/>
  <c r="D3" i="4"/>
  <c r="C4" i="4"/>
  <c r="C3" i="4"/>
  <c r="B4" i="4"/>
  <c r="B3" i="4"/>
  <c r="B13" i="5"/>
  <c r="B14" i="5"/>
  <c r="D13" i="5"/>
  <c r="D14" i="5"/>
  <c r="D12" i="5"/>
  <c r="D11" i="5"/>
  <c r="B12" i="5"/>
  <c r="B11" i="5"/>
  <c r="E13" i="5"/>
  <c r="E14" i="5"/>
  <c r="C13" i="5"/>
  <c r="C14" i="5"/>
  <c r="E12" i="5"/>
  <c r="E11" i="5"/>
  <c r="C12" i="5"/>
  <c r="C11" i="5"/>
  <c r="E5" i="5"/>
  <c r="E6" i="5"/>
  <c r="E4" i="5"/>
  <c r="E3" i="5"/>
  <c r="D5" i="5"/>
  <c r="D6" i="5"/>
  <c r="D4" i="5"/>
  <c r="D3" i="5"/>
  <c r="C5" i="5"/>
  <c r="C6" i="5"/>
  <c r="C4" i="5"/>
  <c r="C3" i="5"/>
  <c r="B6" i="5"/>
  <c r="B5" i="5"/>
  <c r="B4" i="5"/>
  <c r="B3" i="5"/>
</calcChain>
</file>

<file path=xl/sharedStrings.xml><?xml version="1.0" encoding="utf-8"?>
<sst xmlns="http://schemas.openxmlformats.org/spreadsheetml/2006/main" count="111" uniqueCount="34">
  <si>
    <t>Avg DPS</t>
  </si>
  <si>
    <t>Avg FPS</t>
  </si>
  <si>
    <t>Bright Lighting</t>
  </si>
  <si>
    <t>Frames</t>
  </si>
  <si>
    <t>Detections</t>
  </si>
  <si>
    <t>Time</t>
  </si>
  <si>
    <t>Dark Lighting</t>
  </si>
  <si>
    <t>CLEAN BACKGROUND</t>
  </si>
  <si>
    <t>NOISY BACKGROUND</t>
  </si>
  <si>
    <t>YOLO DETECTOR MODEL</t>
  </si>
  <si>
    <t>ARUCO DETECTION MODEL</t>
  </si>
  <si>
    <t>100% Opacity Marker</t>
  </si>
  <si>
    <t>75% Opacity Marker</t>
  </si>
  <si>
    <t>50% Opcaity Marker</t>
  </si>
  <si>
    <t>25% Opcaity Marker</t>
  </si>
  <si>
    <t>NOTE: In dark conditions with clean background, YOLO seems to make more detections than frames in the video implying it saw multiple phones in some frames. We can explain this by pointing out that our confidence threshold was set to 0.5, and setting it higher would reduce the probability of false detections occuring.</t>
  </si>
  <si>
    <t>Clean Background, Bright Lighting</t>
  </si>
  <si>
    <t>Noisy Background, Bright Lighting</t>
  </si>
  <si>
    <t>Clean Background, Dark Lighting</t>
  </si>
  <si>
    <t>Noisy Background, Dark Lighting</t>
  </si>
  <si>
    <t>Marker Opcaity</t>
  </si>
  <si>
    <t>YOLO Accuracy</t>
  </si>
  <si>
    <t>ArUco Accuracy</t>
  </si>
  <si>
    <t>Maker Opacity</t>
  </si>
  <si>
    <t>Accuracy Difference from using YOLO over ArUco</t>
  </si>
  <si>
    <t>Accuracy Difference from using ArUco over YOLO</t>
  </si>
  <si>
    <t>Accuracy calculated as (DETECTIONS/FRAMES)</t>
  </si>
  <si>
    <t>YOLO F1 Score</t>
  </si>
  <si>
    <t>ArUco F1 Score</t>
  </si>
  <si>
    <t>F1 Score = TP / (TP + 0.5(FP + FN))</t>
  </si>
  <si>
    <t>TP = detections</t>
  </si>
  <si>
    <t>TN = impossible, phone is always present</t>
  </si>
  <si>
    <t>FN = frames - detections</t>
  </si>
  <si>
    <t>FP = detections - frames if detections &gt; frames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</si>
</sst>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10">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bottom/>
      <diagonal/>
    </border>
    <border>
      <left/>
      <right/>
      <top style="thin">
        <color indexed="64"/>
      </top>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style="thin">
        <color indexed="64"/>
      </bottom>
      <diagonal/>
    </border>
    <border>
      <left/>
      <right style="thick">
        <color indexed="64"/>
      </right>
      <top style="thick">
        <color indexed="64"/>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top style="thick">
        <color indexed="64"/>
      </top>
      <bottom/>
      <diagonal/>
    </border>
    <border>
      <left style="thick">
        <color indexed="64"/>
      </left>
      <right/>
      <top/>
      <bottom style="thin">
        <color indexed="64"/>
      </bottom>
      <diagonal/>
    </border>
  </borders>
  <cellStyleXfs count="1">
    <xf numFmtId="0" fontId="0" fillId="0" borderId="0"/>
  </cellStyleXfs>
  <cellXfs count="62">
    <xf numFmtId="0" fontId="0" fillId="0" borderId="0" xfId="0"/>
    <xf numFmtId="0" fontId="0" fillId="0" borderId="2" xfId="0" applyBorder="1"/>
    <xf numFmtId="0" fontId="0" fillId="0" borderId="1" xfId="0" applyBorder="1"/>
    <xf numFmtId="0" fontId="0" fillId="0" borderId="5" xfId="0" applyBorder="1"/>
    <xf numFmtId="0" fontId="1" fillId="0" borderId="3" xfId="0" applyFont="1" applyBorder="1" applyAlignment="1">
      <alignment wrapText="1"/>
    </xf>
    <xf numFmtId="0" fontId="1" fillId="0" borderId="4" xfId="0" applyFont="1" applyBorder="1" applyAlignment="1">
      <alignment wrapText="1"/>
    </xf>
    <xf numFmtId="0" fontId="1" fillId="7" borderId="2" xfId="0" applyFont="1" applyFill="1" applyBorder="1"/>
    <xf numFmtId="0" fontId="1" fillId="7" borderId="1" xfId="0" applyFont="1" applyFill="1" applyBorder="1"/>
    <xf numFmtId="0" fontId="1" fillId="7" borderId="5" xfId="0" applyFont="1" applyFill="1" applyBorder="1"/>
    <xf numFmtId="0" fontId="1" fillId="7" borderId="3" xfId="0" applyFont="1" applyFill="1" applyBorder="1" applyAlignment="1">
      <alignment wrapText="1"/>
    </xf>
    <xf numFmtId="0" fontId="1" fillId="7" borderId="7" xfId="0" applyFont="1" applyFill="1" applyBorder="1" applyAlignment="1">
      <alignment wrapText="1"/>
    </xf>
    <xf numFmtId="0" fontId="0" fillId="7" borderId="2" xfId="0" applyFill="1" applyBorder="1"/>
    <xf numFmtId="0" fontId="0" fillId="7" borderId="1" xfId="0" applyFill="1" applyBorder="1"/>
    <xf numFmtId="0" fontId="0" fillId="7" borderId="5" xfId="0" applyFill="1" applyBorder="1"/>
    <xf numFmtId="0" fontId="0" fillId="7" borderId="20" xfId="0" applyFill="1" applyBorder="1"/>
    <xf numFmtId="0" fontId="0" fillId="7" borderId="21" xfId="0" applyFill="1" applyBorder="1"/>
    <xf numFmtId="0" fontId="0" fillId="7" borderId="22" xfId="0" applyFill="1" applyBorder="1"/>
    <xf numFmtId="0" fontId="0" fillId="7" borderId="8" xfId="0" applyFill="1" applyBorder="1"/>
    <xf numFmtId="0" fontId="1" fillId="7" borderId="4" xfId="0" applyFont="1" applyFill="1" applyBorder="1" applyAlignment="1">
      <alignment wrapText="1"/>
    </xf>
    <xf numFmtId="0" fontId="1" fillId="7" borderId="9" xfId="0" applyFont="1" applyFill="1" applyBorder="1" applyAlignment="1">
      <alignment wrapText="1"/>
    </xf>
    <xf numFmtId="0" fontId="0" fillId="7" borderId="15" xfId="0" applyFill="1" applyBorder="1"/>
    <xf numFmtId="0" fontId="0" fillId="7" borderId="16" xfId="0" applyFill="1" applyBorder="1"/>
    <xf numFmtId="0" fontId="0" fillId="7" borderId="17" xfId="0" applyFill="1" applyBorder="1"/>
    <xf numFmtId="2" fontId="0" fillId="0" borderId="5" xfId="0" applyNumberFormat="1" applyBorder="1"/>
    <xf numFmtId="2" fontId="0" fillId="7" borderId="5" xfId="0" applyNumberFormat="1" applyFill="1" applyBorder="1"/>
    <xf numFmtId="2" fontId="0" fillId="7" borderId="22" xfId="0" applyNumberFormat="1" applyFill="1" applyBorder="1"/>
    <xf numFmtId="2" fontId="0" fillId="7" borderId="17" xfId="0" applyNumberFormat="1" applyFill="1" applyBorder="1"/>
    <xf numFmtId="2" fontId="0" fillId="0" borderId="1" xfId="0" applyNumberFormat="1" applyBorder="1"/>
    <xf numFmtId="2" fontId="0" fillId="7" borderId="1" xfId="0" applyNumberFormat="1" applyFill="1" applyBorder="1"/>
    <xf numFmtId="2" fontId="0" fillId="7" borderId="16" xfId="0" applyNumberFormat="1" applyFill="1" applyBorder="1"/>
    <xf numFmtId="2" fontId="0" fillId="7" borderId="21" xfId="0" applyNumberFormat="1" applyFill="1" applyBorder="1"/>
    <xf numFmtId="0" fontId="1" fillId="8" borderId="1" xfId="0" applyFont="1" applyFill="1" applyBorder="1" applyAlignment="1">
      <alignment wrapText="1"/>
    </xf>
    <xf numFmtId="9" fontId="1" fillId="0" borderId="1" xfId="0" applyNumberFormat="1" applyFont="1" applyBorder="1"/>
    <xf numFmtId="9" fontId="1" fillId="7" borderId="1" xfId="0" applyNumberFormat="1" applyFont="1" applyFill="1" applyBorder="1"/>
    <xf numFmtId="0" fontId="1" fillId="3" borderId="19" xfId="0" applyFont="1" applyFill="1" applyBorder="1" applyAlignment="1">
      <alignment horizontal="center" vertical="center" textRotation="90"/>
    </xf>
    <xf numFmtId="0" fontId="1" fillId="3" borderId="6" xfId="0" applyFont="1" applyFill="1" applyBorder="1" applyAlignment="1">
      <alignment horizontal="center" vertical="center" textRotation="90"/>
    </xf>
    <xf numFmtId="0" fontId="1" fillId="3" borderId="8" xfId="0" applyFont="1" applyFill="1" applyBorder="1" applyAlignment="1">
      <alignment horizontal="center" vertical="center" textRotation="90"/>
    </xf>
    <xf numFmtId="0" fontId="1" fillId="2" borderId="19" xfId="0" applyFont="1" applyFill="1" applyBorder="1" applyAlignment="1">
      <alignment horizontal="center" vertical="center" textRotation="90"/>
    </xf>
    <xf numFmtId="0" fontId="1" fillId="2" borderId="6" xfId="0" applyFont="1" applyFill="1" applyBorder="1" applyAlignment="1">
      <alignment horizontal="center" vertical="center" textRotation="90"/>
    </xf>
    <xf numFmtId="0" fontId="1" fillId="2" borderId="8" xfId="0" applyFont="1" applyFill="1" applyBorder="1" applyAlignment="1">
      <alignment horizontal="center" vertical="center" textRotation="90"/>
    </xf>
    <xf numFmtId="0" fontId="0" fillId="0" borderId="0" xfId="0" applyAlignment="1">
      <alignment horizontal="center" vertical="center" wrapText="1"/>
    </xf>
    <xf numFmtId="0" fontId="0" fillId="7" borderId="23" xfId="0" applyFill="1" applyBorder="1" applyAlignment="1">
      <alignment horizontal="center"/>
    </xf>
    <xf numFmtId="0" fontId="0" fillId="7" borderId="24" xfId="0" applyFill="1" applyBorder="1" applyAlignment="1">
      <alignment horizontal="center"/>
    </xf>
    <xf numFmtId="0" fontId="1" fillId="7" borderId="12" xfId="0" applyFont="1" applyFill="1" applyBorder="1" applyAlignment="1">
      <alignment horizontal="center"/>
    </xf>
    <xf numFmtId="0" fontId="1" fillId="7" borderId="13" xfId="0" applyFont="1" applyFill="1" applyBorder="1" applyAlignment="1">
      <alignment horizontal="center"/>
    </xf>
    <xf numFmtId="0" fontId="1" fillId="7" borderId="14" xfId="0" applyFont="1" applyFill="1" applyBorder="1" applyAlignment="1">
      <alignment horizontal="center"/>
    </xf>
    <xf numFmtId="0" fontId="0" fillId="7" borderId="18" xfId="0" applyFill="1" applyBorder="1" applyAlignment="1">
      <alignment horizontal="center"/>
    </xf>
    <xf numFmtId="0" fontId="0" fillId="7" borderId="3" xfId="0" applyFill="1" applyBorder="1" applyAlignment="1">
      <alignment horizontal="center"/>
    </xf>
    <xf numFmtId="0" fontId="0" fillId="7" borderId="18" xfId="0" applyFill="1" applyBorder="1" applyAlignment="1">
      <alignment horizontal="center" vertical="center"/>
    </xf>
    <xf numFmtId="0" fontId="0" fillId="7" borderId="3" xfId="0" applyFill="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1" fillId="6" borderId="1" xfId="0" applyFont="1" applyFill="1" applyBorder="1" applyAlignment="1">
      <alignment horizontal="center" vertical="center"/>
    </xf>
    <xf numFmtId="0" fontId="1"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D0C4-53DE-B84D-B1A9-0519AEBACCF7}">
  <dimension ref="A1:L32"/>
  <sheetViews>
    <sheetView workbookViewId="0">
      <selection activeCell="F13" sqref="F13"/>
    </sheetView>
  </sheetViews>
  <sheetFormatPr baseColWidth="10" defaultRowHeight="16" x14ac:dyDescent="0.2"/>
  <cols>
    <col min="2" max="2" width="19.1640625" customWidth="1"/>
  </cols>
  <sheetData>
    <row r="1" spans="1:12" ht="31" customHeight="1" thickBot="1" x14ac:dyDescent="0.25">
      <c r="A1" s="17"/>
      <c r="B1" s="17"/>
      <c r="C1" s="50" t="s">
        <v>7</v>
      </c>
      <c r="D1" s="51"/>
      <c r="E1" s="51"/>
      <c r="F1" s="51"/>
      <c r="G1" s="52"/>
      <c r="H1" s="53" t="s">
        <v>8</v>
      </c>
      <c r="I1" s="54"/>
      <c r="J1" s="54"/>
      <c r="K1" s="54"/>
      <c r="L1" s="55"/>
    </row>
    <row r="2" spans="1:12" ht="17" thickTop="1" x14ac:dyDescent="0.2">
      <c r="A2" s="34" t="s">
        <v>9</v>
      </c>
      <c r="B2" s="48"/>
      <c r="C2" s="43" t="s">
        <v>2</v>
      </c>
      <c r="D2" s="44"/>
      <c r="E2" s="44"/>
      <c r="F2" s="44"/>
      <c r="G2" s="45"/>
      <c r="H2" s="43" t="s">
        <v>2</v>
      </c>
      <c r="I2" s="44"/>
      <c r="J2" s="44"/>
      <c r="K2" s="44"/>
      <c r="L2" s="45"/>
    </row>
    <row r="3" spans="1:12" x14ac:dyDescent="0.2">
      <c r="A3" s="35"/>
      <c r="B3" s="49"/>
      <c r="C3" s="6" t="s">
        <v>1</v>
      </c>
      <c r="D3" s="7" t="s">
        <v>0</v>
      </c>
      <c r="E3" s="7" t="s">
        <v>3</v>
      </c>
      <c r="F3" s="7" t="s">
        <v>4</v>
      </c>
      <c r="G3" s="8" t="s">
        <v>5</v>
      </c>
      <c r="H3" s="6" t="s">
        <v>1</v>
      </c>
      <c r="I3" s="7" t="s">
        <v>0</v>
      </c>
      <c r="J3" s="7" t="s">
        <v>3</v>
      </c>
      <c r="K3" s="7" t="s">
        <v>4</v>
      </c>
      <c r="L3" s="8" t="s">
        <v>5</v>
      </c>
    </row>
    <row r="4" spans="1:12" ht="17" x14ac:dyDescent="0.2">
      <c r="A4" s="35"/>
      <c r="B4" s="4" t="s">
        <v>14</v>
      </c>
      <c r="C4" s="1">
        <v>33.18</v>
      </c>
      <c r="D4" s="2">
        <v>33.15</v>
      </c>
      <c r="E4" s="2">
        <v>896</v>
      </c>
      <c r="F4" s="2">
        <v>895</v>
      </c>
      <c r="G4" s="23">
        <v>27</v>
      </c>
      <c r="H4" s="1">
        <v>31.49</v>
      </c>
      <c r="I4" s="27">
        <v>29.12</v>
      </c>
      <c r="J4" s="2">
        <v>888</v>
      </c>
      <c r="K4" s="2">
        <v>821</v>
      </c>
      <c r="L4" s="23">
        <v>28.2</v>
      </c>
    </row>
    <row r="5" spans="1:12" ht="17" x14ac:dyDescent="0.2">
      <c r="A5" s="35"/>
      <c r="B5" s="9" t="s">
        <v>13</v>
      </c>
      <c r="C5" s="11">
        <v>33.07</v>
      </c>
      <c r="D5" s="12">
        <v>33.04</v>
      </c>
      <c r="E5" s="12">
        <v>896</v>
      </c>
      <c r="F5" s="12">
        <v>895</v>
      </c>
      <c r="G5" s="24">
        <v>27.09</v>
      </c>
      <c r="H5" s="11">
        <v>30.18</v>
      </c>
      <c r="I5" s="28">
        <v>29.94</v>
      </c>
      <c r="J5" s="12">
        <v>882</v>
      </c>
      <c r="K5" s="12">
        <v>875</v>
      </c>
      <c r="L5" s="24">
        <v>29.23</v>
      </c>
    </row>
    <row r="6" spans="1:12" ht="17" x14ac:dyDescent="0.2">
      <c r="A6" s="35"/>
      <c r="B6" s="4" t="s">
        <v>12</v>
      </c>
      <c r="C6" s="1">
        <v>32.06</v>
      </c>
      <c r="D6" s="2">
        <v>32.06</v>
      </c>
      <c r="E6" s="2">
        <v>863</v>
      </c>
      <c r="F6" s="2">
        <v>863</v>
      </c>
      <c r="G6" s="23">
        <v>26.92</v>
      </c>
      <c r="H6" s="1">
        <v>32.880000000000003</v>
      </c>
      <c r="I6" s="27">
        <v>31.9</v>
      </c>
      <c r="J6" s="2">
        <v>865</v>
      </c>
      <c r="K6" s="2">
        <v>839</v>
      </c>
      <c r="L6" s="23">
        <v>26.3</v>
      </c>
    </row>
    <row r="7" spans="1:12" ht="18" thickBot="1" x14ac:dyDescent="0.25">
      <c r="A7" s="35"/>
      <c r="B7" s="10" t="s">
        <v>11</v>
      </c>
      <c r="C7" s="14">
        <v>32.56</v>
      </c>
      <c r="D7" s="15">
        <v>32.01</v>
      </c>
      <c r="E7" s="15">
        <v>876</v>
      </c>
      <c r="F7" s="15">
        <v>861</v>
      </c>
      <c r="G7" s="25">
        <v>26.9</v>
      </c>
      <c r="H7" s="14">
        <v>31.88</v>
      </c>
      <c r="I7" s="30">
        <v>30.91</v>
      </c>
      <c r="J7" s="15">
        <v>888</v>
      </c>
      <c r="K7" s="15">
        <v>861</v>
      </c>
      <c r="L7" s="25">
        <v>27.86</v>
      </c>
    </row>
    <row r="8" spans="1:12" ht="17" thickTop="1" x14ac:dyDescent="0.2">
      <c r="A8" s="35"/>
      <c r="B8" s="41"/>
      <c r="C8" s="43" t="s">
        <v>6</v>
      </c>
      <c r="D8" s="44"/>
      <c r="E8" s="44"/>
      <c r="F8" s="44"/>
      <c r="G8" s="45"/>
      <c r="H8" s="43" t="s">
        <v>6</v>
      </c>
      <c r="I8" s="44"/>
      <c r="J8" s="44"/>
      <c r="K8" s="44"/>
      <c r="L8" s="45"/>
    </row>
    <row r="9" spans="1:12" x14ac:dyDescent="0.2">
      <c r="A9" s="35"/>
      <c r="B9" s="42"/>
      <c r="C9" s="6" t="s">
        <v>1</v>
      </c>
      <c r="D9" s="7" t="s">
        <v>0</v>
      </c>
      <c r="E9" s="7" t="s">
        <v>3</v>
      </c>
      <c r="F9" s="7" t="s">
        <v>4</v>
      </c>
      <c r="G9" s="8" t="s">
        <v>5</v>
      </c>
      <c r="H9" s="6" t="s">
        <v>1</v>
      </c>
      <c r="I9" s="7" t="s">
        <v>0</v>
      </c>
      <c r="J9" s="7" t="s">
        <v>3</v>
      </c>
      <c r="K9" s="7" t="s">
        <v>4</v>
      </c>
      <c r="L9" s="8" t="s">
        <v>5</v>
      </c>
    </row>
    <row r="10" spans="1:12" ht="17" x14ac:dyDescent="0.2">
      <c r="A10" s="35"/>
      <c r="B10" s="5" t="s">
        <v>14</v>
      </c>
      <c r="C10" s="1">
        <v>30.73</v>
      </c>
      <c r="D10" s="27">
        <v>28.82</v>
      </c>
      <c r="E10" s="2">
        <v>851</v>
      </c>
      <c r="F10" s="2">
        <v>798</v>
      </c>
      <c r="G10" s="23">
        <v>27.69</v>
      </c>
      <c r="H10" s="1">
        <v>32.06</v>
      </c>
      <c r="I10" s="2">
        <v>28.65</v>
      </c>
      <c r="J10" s="2">
        <v>837</v>
      </c>
      <c r="K10" s="2">
        <v>748</v>
      </c>
      <c r="L10" s="3">
        <v>26.11</v>
      </c>
    </row>
    <row r="11" spans="1:12" ht="17" x14ac:dyDescent="0.2">
      <c r="A11" s="35"/>
      <c r="B11" s="18" t="s">
        <v>13</v>
      </c>
      <c r="C11" s="11">
        <v>32.79</v>
      </c>
      <c r="D11" s="28">
        <v>32.9</v>
      </c>
      <c r="E11" s="12">
        <v>882</v>
      </c>
      <c r="F11" s="12">
        <v>885</v>
      </c>
      <c r="G11" s="24">
        <v>26.9</v>
      </c>
      <c r="H11" s="11">
        <v>32.47</v>
      </c>
      <c r="I11" s="12">
        <v>25.39</v>
      </c>
      <c r="J11" s="12">
        <v>881</v>
      </c>
      <c r="K11" s="12">
        <v>689</v>
      </c>
      <c r="L11" s="13">
        <v>27.14</v>
      </c>
    </row>
    <row r="12" spans="1:12" ht="17" x14ac:dyDescent="0.2">
      <c r="A12" s="35"/>
      <c r="B12" s="5" t="s">
        <v>12</v>
      </c>
      <c r="C12" s="1">
        <v>32.26</v>
      </c>
      <c r="D12" s="27">
        <v>32.549999999999997</v>
      </c>
      <c r="E12" s="2">
        <v>874</v>
      </c>
      <c r="F12" s="2">
        <v>882</v>
      </c>
      <c r="G12" s="23">
        <v>27.1</v>
      </c>
      <c r="H12" s="1">
        <v>32.56</v>
      </c>
      <c r="I12" s="2">
        <v>21.54</v>
      </c>
      <c r="J12" s="2">
        <v>851</v>
      </c>
      <c r="K12" s="2">
        <v>563</v>
      </c>
      <c r="L12" s="3">
        <v>26.14</v>
      </c>
    </row>
    <row r="13" spans="1:12" ht="18" thickBot="1" x14ac:dyDescent="0.25">
      <c r="A13" s="36"/>
      <c r="B13" s="19" t="s">
        <v>11</v>
      </c>
      <c r="C13" s="20">
        <v>33.47</v>
      </c>
      <c r="D13" s="29">
        <v>33.86</v>
      </c>
      <c r="E13" s="21">
        <v>869</v>
      </c>
      <c r="F13" s="21">
        <v>879</v>
      </c>
      <c r="G13" s="26">
        <v>25.96</v>
      </c>
      <c r="H13" s="20">
        <v>32.64</v>
      </c>
      <c r="I13" s="21">
        <v>21.76</v>
      </c>
      <c r="J13" s="21">
        <v>846</v>
      </c>
      <c r="K13" s="21">
        <v>564</v>
      </c>
      <c r="L13" s="22">
        <v>25.92</v>
      </c>
    </row>
    <row r="14" spans="1:12" ht="17" thickTop="1" x14ac:dyDescent="0.2">
      <c r="A14" s="37" t="s">
        <v>10</v>
      </c>
      <c r="B14" s="46"/>
      <c r="C14" s="43" t="s">
        <v>2</v>
      </c>
      <c r="D14" s="44"/>
      <c r="E14" s="44"/>
      <c r="F14" s="44"/>
      <c r="G14" s="45"/>
      <c r="H14" s="43" t="s">
        <v>2</v>
      </c>
      <c r="I14" s="44"/>
      <c r="J14" s="44"/>
      <c r="K14" s="44"/>
      <c r="L14" s="45"/>
    </row>
    <row r="15" spans="1:12" x14ac:dyDescent="0.2">
      <c r="A15" s="38"/>
      <c r="B15" s="47"/>
      <c r="C15" s="6" t="s">
        <v>1</v>
      </c>
      <c r="D15" s="7" t="s">
        <v>0</v>
      </c>
      <c r="E15" s="7" t="s">
        <v>3</v>
      </c>
      <c r="F15" s="7" t="s">
        <v>4</v>
      </c>
      <c r="G15" s="8" t="s">
        <v>5</v>
      </c>
      <c r="H15" s="6" t="s">
        <v>1</v>
      </c>
      <c r="I15" s="7" t="s">
        <v>0</v>
      </c>
      <c r="J15" s="7" t="s">
        <v>3</v>
      </c>
      <c r="K15" s="7" t="s">
        <v>4</v>
      </c>
      <c r="L15" s="8" t="s">
        <v>5</v>
      </c>
    </row>
    <row r="16" spans="1:12" ht="17" x14ac:dyDescent="0.2">
      <c r="A16" s="38"/>
      <c r="B16" s="4" t="s">
        <v>14</v>
      </c>
      <c r="C16" s="1">
        <v>89.14</v>
      </c>
      <c r="D16" s="2">
        <v>23.98</v>
      </c>
      <c r="E16" s="2">
        <v>896</v>
      </c>
      <c r="F16" s="2">
        <v>241</v>
      </c>
      <c r="G16" s="3">
        <v>10.050000000000001</v>
      </c>
      <c r="H16" s="1">
        <v>60.82</v>
      </c>
      <c r="I16" s="2">
        <v>34.93</v>
      </c>
      <c r="J16" s="2">
        <v>888</v>
      </c>
      <c r="K16" s="2">
        <v>510</v>
      </c>
      <c r="L16" s="23">
        <v>14.6</v>
      </c>
    </row>
    <row r="17" spans="1:12" ht="17" x14ac:dyDescent="0.2">
      <c r="A17" s="38"/>
      <c r="B17" s="9" t="s">
        <v>13</v>
      </c>
      <c r="C17" s="11">
        <v>88.73</v>
      </c>
      <c r="D17" s="12">
        <v>83.87</v>
      </c>
      <c r="E17" s="12">
        <v>896</v>
      </c>
      <c r="F17" s="12">
        <v>847</v>
      </c>
      <c r="G17" s="24">
        <v>10.1</v>
      </c>
      <c r="H17" s="11">
        <v>62.89</v>
      </c>
      <c r="I17" s="12">
        <v>56.47</v>
      </c>
      <c r="J17" s="12">
        <v>882</v>
      </c>
      <c r="K17" s="12">
        <v>792</v>
      </c>
      <c r="L17" s="13">
        <v>14.02</v>
      </c>
    </row>
    <row r="18" spans="1:12" ht="17" x14ac:dyDescent="0.2">
      <c r="A18" s="38"/>
      <c r="B18" s="4" t="s">
        <v>12</v>
      </c>
      <c r="C18" s="1">
        <v>87.76</v>
      </c>
      <c r="D18" s="2">
        <v>87.05</v>
      </c>
      <c r="E18" s="2">
        <v>863</v>
      </c>
      <c r="F18" s="2">
        <v>856</v>
      </c>
      <c r="G18" s="3">
        <v>9.83</v>
      </c>
      <c r="H18" s="1">
        <v>62.02</v>
      </c>
      <c r="I18" s="2">
        <v>57.93</v>
      </c>
      <c r="J18" s="2">
        <v>865</v>
      </c>
      <c r="K18" s="2">
        <v>808</v>
      </c>
      <c r="L18" s="3">
        <v>13.95</v>
      </c>
    </row>
    <row r="19" spans="1:12" ht="18" thickBot="1" x14ac:dyDescent="0.25">
      <c r="A19" s="38"/>
      <c r="B19" s="10" t="s">
        <v>11</v>
      </c>
      <c r="C19" s="14">
        <v>88.03</v>
      </c>
      <c r="D19" s="15">
        <v>86.62</v>
      </c>
      <c r="E19" s="15">
        <v>876</v>
      </c>
      <c r="F19" s="15">
        <v>862</v>
      </c>
      <c r="G19" s="16">
        <v>9.9499999999999993</v>
      </c>
      <c r="H19" s="14">
        <v>62.98</v>
      </c>
      <c r="I19" s="15">
        <v>54.39</v>
      </c>
      <c r="J19" s="15">
        <v>888</v>
      </c>
      <c r="K19" s="15">
        <v>767</v>
      </c>
      <c r="L19" s="25">
        <v>14.1</v>
      </c>
    </row>
    <row r="20" spans="1:12" ht="17" thickTop="1" x14ac:dyDescent="0.2">
      <c r="A20" s="38"/>
      <c r="B20" s="41"/>
      <c r="C20" s="43" t="s">
        <v>6</v>
      </c>
      <c r="D20" s="44"/>
      <c r="E20" s="44"/>
      <c r="F20" s="44"/>
      <c r="G20" s="45"/>
      <c r="H20" s="43" t="s">
        <v>6</v>
      </c>
      <c r="I20" s="44"/>
      <c r="J20" s="44"/>
      <c r="K20" s="44"/>
      <c r="L20" s="45"/>
    </row>
    <row r="21" spans="1:12" x14ac:dyDescent="0.2">
      <c r="A21" s="38"/>
      <c r="B21" s="42"/>
      <c r="C21" s="6" t="s">
        <v>1</v>
      </c>
      <c r="D21" s="7" t="s">
        <v>0</v>
      </c>
      <c r="E21" s="7" t="s">
        <v>3</v>
      </c>
      <c r="F21" s="7" t="s">
        <v>4</v>
      </c>
      <c r="G21" s="8" t="s">
        <v>5</v>
      </c>
      <c r="H21" s="6" t="s">
        <v>1</v>
      </c>
      <c r="I21" s="7" t="s">
        <v>0</v>
      </c>
      <c r="J21" s="7" t="s">
        <v>3</v>
      </c>
      <c r="K21" s="7" t="s">
        <v>4</v>
      </c>
      <c r="L21" s="8" t="s">
        <v>5</v>
      </c>
    </row>
    <row r="22" spans="1:12" ht="17" x14ac:dyDescent="0.2">
      <c r="A22" s="38"/>
      <c r="B22" s="5" t="s">
        <v>14</v>
      </c>
      <c r="C22" s="1">
        <v>90.57</v>
      </c>
      <c r="D22" s="2">
        <v>17.989999999999998</v>
      </c>
      <c r="E22" s="2">
        <v>851</v>
      </c>
      <c r="F22" s="2">
        <v>169</v>
      </c>
      <c r="G22" s="23">
        <v>9.4</v>
      </c>
      <c r="H22" s="1">
        <v>73.55</v>
      </c>
      <c r="I22" s="2">
        <v>26.54</v>
      </c>
      <c r="J22" s="2">
        <v>837</v>
      </c>
      <c r="K22" s="2">
        <v>302</v>
      </c>
      <c r="L22" s="3">
        <v>11.38</v>
      </c>
    </row>
    <row r="23" spans="1:12" ht="17" x14ac:dyDescent="0.2">
      <c r="A23" s="38"/>
      <c r="B23" s="18" t="s">
        <v>13</v>
      </c>
      <c r="C23" s="11">
        <v>90.05</v>
      </c>
      <c r="D23" s="28">
        <v>43.8</v>
      </c>
      <c r="E23" s="12">
        <v>882</v>
      </c>
      <c r="F23" s="12">
        <v>429</v>
      </c>
      <c r="G23" s="13">
        <v>9.7899999999999991</v>
      </c>
      <c r="H23" s="11">
        <v>74.55</v>
      </c>
      <c r="I23" s="12">
        <v>34.01</v>
      </c>
      <c r="J23" s="12">
        <v>881</v>
      </c>
      <c r="K23" s="12">
        <v>402</v>
      </c>
      <c r="L23" s="13">
        <v>11.82</v>
      </c>
    </row>
    <row r="24" spans="1:12" ht="17" x14ac:dyDescent="0.2">
      <c r="A24" s="38"/>
      <c r="B24" s="5" t="s">
        <v>12</v>
      </c>
      <c r="C24" s="1">
        <v>89.71</v>
      </c>
      <c r="D24" s="2">
        <v>39.93</v>
      </c>
      <c r="E24" s="2">
        <v>874</v>
      </c>
      <c r="F24" s="2">
        <v>389</v>
      </c>
      <c r="G24" s="3">
        <v>9.74</v>
      </c>
      <c r="H24" s="1">
        <v>74.78</v>
      </c>
      <c r="I24" s="2">
        <v>30.49</v>
      </c>
      <c r="J24" s="2">
        <v>851</v>
      </c>
      <c r="K24" s="2">
        <v>347</v>
      </c>
      <c r="L24" s="3">
        <v>11.38</v>
      </c>
    </row>
    <row r="25" spans="1:12" ht="18" thickBot="1" x14ac:dyDescent="0.25">
      <c r="A25" s="39"/>
      <c r="B25" s="19" t="s">
        <v>11</v>
      </c>
      <c r="C25" s="20">
        <v>89.56</v>
      </c>
      <c r="D25" s="29">
        <v>43.7</v>
      </c>
      <c r="E25" s="21">
        <v>869</v>
      </c>
      <c r="F25" s="21">
        <v>424</v>
      </c>
      <c r="G25" s="26">
        <v>9.6999999999999993</v>
      </c>
      <c r="H25" s="20">
        <v>75.349999999999994</v>
      </c>
      <c r="I25" s="21">
        <v>33.58</v>
      </c>
      <c r="J25" s="21">
        <v>846</v>
      </c>
      <c r="K25" s="21">
        <v>377</v>
      </c>
      <c r="L25" s="22">
        <v>11.23</v>
      </c>
    </row>
    <row r="26" spans="1:12" ht="17" thickTop="1" x14ac:dyDescent="0.2"/>
    <row r="28" spans="1:12" ht="16" customHeight="1" x14ac:dyDescent="0.2">
      <c r="B28" s="40" t="s">
        <v>15</v>
      </c>
      <c r="C28" s="40"/>
      <c r="D28" s="40"/>
      <c r="E28" s="40"/>
      <c r="F28" s="40"/>
      <c r="G28" s="40"/>
      <c r="H28" s="40"/>
      <c r="I28" s="40"/>
      <c r="J28" s="40"/>
      <c r="K28" s="40"/>
    </row>
    <row r="29" spans="1:12" x14ac:dyDescent="0.2">
      <c r="B29" s="40"/>
      <c r="C29" s="40"/>
      <c r="D29" s="40"/>
      <c r="E29" s="40"/>
      <c r="F29" s="40"/>
      <c r="G29" s="40"/>
      <c r="H29" s="40"/>
      <c r="I29" s="40"/>
      <c r="J29" s="40"/>
      <c r="K29" s="40"/>
    </row>
    <row r="30" spans="1:12" x14ac:dyDescent="0.2">
      <c r="B30" s="40"/>
      <c r="C30" s="40"/>
      <c r="D30" s="40"/>
      <c r="E30" s="40"/>
      <c r="F30" s="40"/>
      <c r="G30" s="40"/>
      <c r="H30" s="40"/>
      <c r="I30" s="40"/>
      <c r="J30" s="40"/>
      <c r="K30" s="40"/>
    </row>
    <row r="31" spans="1:12" x14ac:dyDescent="0.2">
      <c r="B31" s="40"/>
      <c r="C31" s="40"/>
      <c r="D31" s="40"/>
      <c r="E31" s="40"/>
      <c r="F31" s="40"/>
      <c r="G31" s="40"/>
      <c r="H31" s="40"/>
      <c r="I31" s="40"/>
      <c r="J31" s="40"/>
      <c r="K31" s="40"/>
    </row>
    <row r="32" spans="1:12" x14ac:dyDescent="0.2">
      <c r="B32" s="40"/>
      <c r="C32" s="40"/>
      <c r="D32" s="40"/>
      <c r="E32" s="40"/>
      <c r="F32" s="40"/>
      <c r="G32" s="40"/>
      <c r="H32" s="40"/>
      <c r="I32" s="40"/>
      <c r="J32" s="40"/>
      <c r="K32" s="40"/>
    </row>
  </sheetData>
  <mergeCells count="17">
    <mergeCell ref="C1:G1"/>
    <mergeCell ref="H8:L8"/>
    <mergeCell ref="H2:L2"/>
    <mergeCell ref="H1:L1"/>
    <mergeCell ref="C2:G2"/>
    <mergeCell ref="C8:G8"/>
    <mergeCell ref="A2:A13"/>
    <mergeCell ref="A14:A25"/>
    <mergeCell ref="B28:K32"/>
    <mergeCell ref="B20:B21"/>
    <mergeCell ref="C20:G20"/>
    <mergeCell ref="H20:L20"/>
    <mergeCell ref="B14:B15"/>
    <mergeCell ref="C14:G14"/>
    <mergeCell ref="H14:L14"/>
    <mergeCell ref="B8:B9"/>
    <mergeCell ref="B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16699-6A38-AB4B-8A0A-ECF7024CA1DF}">
  <dimension ref="A1:E22"/>
  <sheetViews>
    <sheetView workbookViewId="0">
      <selection activeCell="E28" sqref="E28"/>
    </sheetView>
  </sheetViews>
  <sheetFormatPr baseColWidth="10" defaultRowHeight="16" x14ac:dyDescent="0.2"/>
  <cols>
    <col min="1" max="1" width="10.83203125" customWidth="1"/>
    <col min="2" max="5" width="16.6640625" customWidth="1"/>
  </cols>
  <sheetData>
    <row r="1" spans="1:5" ht="40" customHeight="1" x14ac:dyDescent="0.2">
      <c r="A1" s="57" t="s">
        <v>21</v>
      </c>
      <c r="B1" s="57"/>
      <c r="C1" s="57"/>
      <c r="D1" s="57"/>
      <c r="E1" s="57"/>
    </row>
    <row r="2" spans="1:5" ht="51" x14ac:dyDescent="0.2">
      <c r="A2" s="31" t="s">
        <v>23</v>
      </c>
      <c r="B2" s="31" t="s">
        <v>16</v>
      </c>
      <c r="C2" s="31" t="s">
        <v>17</v>
      </c>
      <c r="D2" s="31" t="s">
        <v>18</v>
      </c>
      <c r="E2" s="31" t="s">
        <v>19</v>
      </c>
    </row>
    <row r="3" spans="1:5" x14ac:dyDescent="0.2">
      <c r="A3" s="32">
        <v>0.25</v>
      </c>
      <c r="B3" s="27">
        <f>RawData!F4/RawData!E4</f>
        <v>0.9988839285714286</v>
      </c>
      <c r="C3" s="27">
        <f>RawData!K4/RawData!J4</f>
        <v>0.9245495495495496</v>
      </c>
      <c r="D3" s="27">
        <f>RawData!F10/RawData!E10</f>
        <v>0.93772032902467684</v>
      </c>
      <c r="E3" s="27">
        <f>RawData!K10/RawData!J10</f>
        <v>0.89366786140979693</v>
      </c>
    </row>
    <row r="4" spans="1:5" x14ac:dyDescent="0.2">
      <c r="A4" s="33">
        <v>0.5</v>
      </c>
      <c r="B4" s="28">
        <f>RawData!F5/RawData!E5</f>
        <v>0.9988839285714286</v>
      </c>
      <c r="C4" s="28">
        <f>RawData!K5/RawData!J5</f>
        <v>0.99206349206349209</v>
      </c>
      <c r="D4" s="28">
        <f>RawData!F11/RawData!E11</f>
        <v>1.0034013605442176</v>
      </c>
      <c r="E4" s="28">
        <f>RawData!K11/RawData!J11</f>
        <v>0.78206583427922816</v>
      </c>
    </row>
    <row r="5" spans="1:5" x14ac:dyDescent="0.2">
      <c r="A5" s="32">
        <v>0.75</v>
      </c>
      <c r="B5" s="27">
        <f>RawData!F6/RawData!E6</f>
        <v>1</v>
      </c>
      <c r="C5" s="27">
        <f>RawData!K6/RawData!J6</f>
        <v>0.96994219653179192</v>
      </c>
      <c r="D5" s="27">
        <f>RawData!F12/RawData!E12</f>
        <v>1.0091533180778032</v>
      </c>
      <c r="E5" s="27">
        <f>RawData!K12/RawData!J12</f>
        <v>0.6615746180963572</v>
      </c>
    </row>
    <row r="6" spans="1:5" x14ac:dyDescent="0.2">
      <c r="A6" s="33">
        <v>1</v>
      </c>
      <c r="B6" s="28">
        <f>RawData!F7/RawData!E7</f>
        <v>0.98287671232876717</v>
      </c>
      <c r="C6" s="28">
        <f>RawData!K7/RawData!J7</f>
        <v>0.96959459459459463</v>
      </c>
      <c r="D6" s="28">
        <f>RawData!F13/RawData!E13</f>
        <v>1.0115074798619101</v>
      </c>
      <c r="E6" s="28">
        <f>RawData!K13/RawData!J13</f>
        <v>0.66666666666666663</v>
      </c>
    </row>
    <row r="7" spans="1:5" x14ac:dyDescent="0.2">
      <c r="A7" s="58"/>
      <c r="B7" s="58"/>
      <c r="C7" s="58"/>
      <c r="D7" s="58"/>
      <c r="E7" s="58"/>
    </row>
    <row r="8" spans="1:5" x14ac:dyDescent="0.2">
      <c r="A8" s="58"/>
      <c r="B8" s="58"/>
      <c r="C8" s="58"/>
      <c r="D8" s="58"/>
      <c r="E8" s="58"/>
    </row>
    <row r="9" spans="1:5" ht="40" customHeight="1" x14ac:dyDescent="0.2">
      <c r="A9" s="56" t="s">
        <v>22</v>
      </c>
      <c r="B9" s="56"/>
      <c r="C9" s="56"/>
      <c r="D9" s="56"/>
      <c r="E9" s="56"/>
    </row>
    <row r="10" spans="1:5" ht="51" x14ac:dyDescent="0.2">
      <c r="A10" s="31" t="s">
        <v>23</v>
      </c>
      <c r="B10" s="31" t="s">
        <v>16</v>
      </c>
      <c r="C10" s="31" t="s">
        <v>17</v>
      </c>
      <c r="D10" s="31" t="s">
        <v>18</v>
      </c>
      <c r="E10" s="31" t="s">
        <v>19</v>
      </c>
    </row>
    <row r="11" spans="1:5" x14ac:dyDescent="0.2">
      <c r="A11" s="32">
        <v>0.25</v>
      </c>
      <c r="B11" s="27">
        <f>RawData!F16/RawData!E16</f>
        <v>0.2689732142857143</v>
      </c>
      <c r="C11" s="27">
        <f>RawData!K16/RawData!J16</f>
        <v>0.57432432432432434</v>
      </c>
      <c r="D11" s="27">
        <f>RawData!F22/RawData!E22</f>
        <v>0.19858989424206816</v>
      </c>
      <c r="E11" s="27">
        <f>RawData!K22/RawData!J22</f>
        <v>0.36081242532855434</v>
      </c>
    </row>
    <row r="12" spans="1:5" x14ac:dyDescent="0.2">
      <c r="A12" s="33">
        <v>0.5</v>
      </c>
      <c r="B12" s="28">
        <f>RawData!F17/RawData!E17</f>
        <v>0.9453125</v>
      </c>
      <c r="C12" s="28">
        <f>RawData!K17/RawData!J17</f>
        <v>0.89795918367346939</v>
      </c>
      <c r="D12" s="28">
        <f>RawData!F23/RawData!E23</f>
        <v>0.48639455782312924</v>
      </c>
      <c r="E12" s="28">
        <f>RawData!K23/RawData!J23</f>
        <v>0.45629965947786605</v>
      </c>
    </row>
    <row r="13" spans="1:5" x14ac:dyDescent="0.2">
      <c r="A13" s="32">
        <v>0.75</v>
      </c>
      <c r="B13" s="27">
        <f>RawData!F18/RawData!E18</f>
        <v>0.99188876013904981</v>
      </c>
      <c r="C13" s="27">
        <f>RawData!K18/RawData!J18</f>
        <v>0.93410404624277454</v>
      </c>
      <c r="D13" s="27">
        <f>RawData!F24/RawData!E24</f>
        <v>0.44508009153318079</v>
      </c>
      <c r="E13" s="27">
        <f>RawData!K24/RawData!J24</f>
        <v>0.40775558166862513</v>
      </c>
    </row>
    <row r="14" spans="1:5" x14ac:dyDescent="0.2">
      <c r="A14" s="33">
        <v>1</v>
      </c>
      <c r="B14" s="28">
        <f>RawData!F19/RawData!E19</f>
        <v>0.98401826484018262</v>
      </c>
      <c r="C14" s="28">
        <f>RawData!K19/RawData!J19</f>
        <v>0.86373873873873874</v>
      </c>
      <c r="D14" s="28">
        <f>RawData!F25/RawData!E25</f>
        <v>0.48791714614499426</v>
      </c>
      <c r="E14" s="28">
        <f>RawData!K25/RawData!J25</f>
        <v>0.44562647754137114</v>
      </c>
    </row>
    <row r="15" spans="1:5" x14ac:dyDescent="0.2">
      <c r="A15" s="58"/>
      <c r="B15" s="58"/>
      <c r="C15" s="58"/>
      <c r="D15" s="58"/>
      <c r="E15" s="58"/>
    </row>
    <row r="16" spans="1:5" x14ac:dyDescent="0.2">
      <c r="A16" s="58"/>
      <c r="B16" s="58"/>
      <c r="C16" s="58"/>
      <c r="D16" s="58"/>
      <c r="E16" s="58"/>
    </row>
    <row r="18" spans="2:4" x14ac:dyDescent="0.2">
      <c r="B18" s="59" t="s">
        <v>26</v>
      </c>
      <c r="C18" s="59"/>
      <c r="D18" s="59"/>
    </row>
    <row r="19" spans="2:4" x14ac:dyDescent="0.2">
      <c r="B19" s="59"/>
      <c r="C19" s="59"/>
      <c r="D19" s="59"/>
    </row>
    <row r="20" spans="2:4" x14ac:dyDescent="0.2">
      <c r="B20" s="59"/>
      <c r="C20" s="59"/>
      <c r="D20" s="59"/>
    </row>
    <row r="21" spans="2:4" x14ac:dyDescent="0.2">
      <c r="B21" s="59"/>
      <c r="C21" s="59"/>
      <c r="D21" s="59"/>
    </row>
    <row r="22" spans="2:4" x14ac:dyDescent="0.2">
      <c r="B22" s="59"/>
      <c r="C22" s="59"/>
      <c r="D22" s="59"/>
    </row>
  </sheetData>
  <mergeCells count="5">
    <mergeCell ref="A9:E9"/>
    <mergeCell ref="A1:E1"/>
    <mergeCell ref="A7:E8"/>
    <mergeCell ref="A15:E16"/>
    <mergeCell ref="B18:D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BAF5-37C2-144A-B695-3AE1F259F493}">
  <dimension ref="A1:G22"/>
  <sheetViews>
    <sheetView tabSelected="1" workbookViewId="0">
      <selection activeCell="F9" sqref="F9"/>
    </sheetView>
  </sheetViews>
  <sheetFormatPr baseColWidth="10" defaultRowHeight="16" x14ac:dyDescent="0.2"/>
  <cols>
    <col min="2" max="5" width="16.6640625" customWidth="1"/>
  </cols>
  <sheetData>
    <row r="1" spans="1:7" ht="40" customHeight="1" x14ac:dyDescent="0.2">
      <c r="A1" s="57" t="s">
        <v>27</v>
      </c>
      <c r="B1" s="57"/>
      <c r="C1" s="57"/>
      <c r="D1" s="57"/>
      <c r="E1" s="57"/>
    </row>
    <row r="2" spans="1:7" ht="68" x14ac:dyDescent="0.2">
      <c r="A2" s="31" t="s">
        <v>23</v>
      </c>
      <c r="B2" s="31" t="s">
        <v>16</v>
      </c>
      <c r="C2" s="31" t="s">
        <v>17</v>
      </c>
      <c r="D2" s="31" t="s">
        <v>18</v>
      </c>
      <c r="E2" s="31" t="s">
        <v>19</v>
      </c>
    </row>
    <row r="3" spans="1:7" x14ac:dyDescent="0.2">
      <c r="A3" s="32">
        <v>0.25</v>
      </c>
      <c r="B3" s="27">
        <f>RawData!F4/(RawData!F4 + (0.5 * (RawData!E4 - RawData!F4)))</f>
        <v>0.99944165270798435</v>
      </c>
      <c r="C3" s="27">
        <f>RawData!K4/(RawData!K4 + (0.5 * (RawData!J4 - RawData!K4)))</f>
        <v>0.96079578700994739</v>
      </c>
      <c r="D3" s="27">
        <f>RawData!F10/(RawData!F10 + (0.5 * (RawData!E10 - RawData!F10)))</f>
        <v>0.96785930867192238</v>
      </c>
      <c r="E3" s="27">
        <f>RawData!K10/(RawData!K10 + (0.5 * (RawData!J10 - RawData!K10)))</f>
        <v>0.94384858044164033</v>
      </c>
      <c r="G3" t="s">
        <v>30</v>
      </c>
    </row>
    <row r="4" spans="1:7" x14ac:dyDescent="0.2">
      <c r="A4" s="33">
        <v>0.5</v>
      </c>
      <c r="B4" s="28">
        <f>RawData!F5/(RawData!F5 + (0.5 * (RawData!E5 - RawData!F5)))</f>
        <v>0.99944165270798435</v>
      </c>
      <c r="C4" s="28">
        <f>RawData!K5/(RawData!K5 + (0.5 * (RawData!J5 - RawData!K5)))</f>
        <v>0.99601593625498008</v>
      </c>
      <c r="D4" s="28">
        <f>RawData!F11/(RawData!F11 + (0.5 * (RawData!E11 - RawData!F11)))</f>
        <v>1.0016977928692699</v>
      </c>
      <c r="E4" s="28">
        <f>RawData!K11/(RawData!K11 + (0.5 * (RawData!J11 - RawData!K11)))</f>
        <v>0.87770700636942678</v>
      </c>
      <c r="G4" t="s">
        <v>31</v>
      </c>
    </row>
    <row r="5" spans="1:7" x14ac:dyDescent="0.2">
      <c r="A5" s="32">
        <v>0.75</v>
      </c>
      <c r="B5" s="27">
        <f>RawData!F6/(RawData!F6 + (0.5 * (RawData!E6 - RawData!F6)))</f>
        <v>1</v>
      </c>
      <c r="C5" s="27">
        <f>RawData!K6/(RawData!K6 + (0.5 * (RawData!J6 - RawData!K6)))</f>
        <v>0.98474178403755863</v>
      </c>
      <c r="D5" s="27">
        <f>RawData!F12/(RawData!F12 + (0.5 * (RawData!E12 - RawData!F12)))</f>
        <v>1.0045558086560364</v>
      </c>
      <c r="E5" s="27">
        <f>RawData!K12/(RawData!K12 + (0.5 * (RawData!J12 - RawData!K12)))</f>
        <v>0.79632248939179628</v>
      </c>
      <c r="G5" t="s">
        <v>33</v>
      </c>
    </row>
    <row r="6" spans="1:7" x14ac:dyDescent="0.2">
      <c r="A6" s="33">
        <v>1</v>
      </c>
      <c r="B6" s="28">
        <f>RawData!F7/(RawData!F7 + (0.5 * (RawData!E7 - RawData!F7)))</f>
        <v>0.99136442141623493</v>
      </c>
      <c r="C6" s="28">
        <f>RawData!K7/(RawData!K7 + (0.5 * (RawData!J7 - RawData!K7)))</f>
        <v>0.98456260720411659</v>
      </c>
      <c r="D6" s="28">
        <f>RawData!F13/(RawData!F13 + (0.5 * (RawData!E13 - RawData!F13)))</f>
        <v>1.005720823798627</v>
      </c>
      <c r="E6" s="28">
        <f>RawData!K13/(RawData!K13 + (0.5 * (RawData!J13 - RawData!K13)))</f>
        <v>0.8</v>
      </c>
      <c r="G6" t="s">
        <v>32</v>
      </c>
    </row>
    <row r="7" spans="1:7" x14ac:dyDescent="0.2">
      <c r="A7" s="58"/>
      <c r="B7" s="58"/>
      <c r="C7" s="58"/>
      <c r="D7" s="58"/>
      <c r="E7" s="58"/>
    </row>
    <row r="8" spans="1:7" x14ac:dyDescent="0.2">
      <c r="A8" s="58"/>
      <c r="B8" s="58"/>
      <c r="C8" s="58"/>
      <c r="D8" s="58"/>
      <c r="E8" s="58"/>
    </row>
    <row r="9" spans="1:7" ht="40" customHeight="1" x14ac:dyDescent="0.2">
      <c r="A9" s="56" t="s">
        <v>28</v>
      </c>
      <c r="B9" s="56"/>
      <c r="C9" s="56"/>
      <c r="D9" s="56"/>
      <c r="E9" s="56"/>
    </row>
    <row r="10" spans="1:7" ht="68" x14ac:dyDescent="0.2">
      <c r="A10" s="31" t="s">
        <v>23</v>
      </c>
      <c r="B10" s="31" t="s">
        <v>16</v>
      </c>
      <c r="C10" s="31" t="s">
        <v>17</v>
      </c>
      <c r="D10" s="31" t="s">
        <v>18</v>
      </c>
      <c r="E10" s="31" t="s">
        <v>19</v>
      </c>
    </row>
    <row r="11" spans="1:7" x14ac:dyDescent="0.2">
      <c r="A11" s="32">
        <v>0.25</v>
      </c>
      <c r="B11" s="27">
        <f>RawData!F16/(RawData!F16 + (0.5 * (RawData!E16 - RawData!F16)))</f>
        <v>0.42392260334212839</v>
      </c>
      <c r="C11" s="27">
        <f>RawData!K16/(RawData!K16 + (0.5 * (RawData!J16 - RawData!K16)))</f>
        <v>0.72961373390557938</v>
      </c>
      <c r="D11" s="27">
        <f>RawData!F22/(RawData!F22 + (0.5 * (RawData!E22 - RawData!F22)))</f>
        <v>0.33137254901960783</v>
      </c>
      <c r="E11" s="27">
        <f>RawData!K22/(RawData!K22 + (0.5 * (RawData!J22 - RawData!K22)))</f>
        <v>0.53028972783143113</v>
      </c>
    </row>
    <row r="12" spans="1:7" x14ac:dyDescent="0.2">
      <c r="A12" s="33">
        <v>0.5</v>
      </c>
      <c r="B12" s="28">
        <f>RawData!F17/(RawData!F17 + (0.5 * (RawData!E17 - RawData!F17)))</f>
        <v>0.9718875502008032</v>
      </c>
      <c r="C12" s="28">
        <f>RawData!K17/(RawData!K17 + (0.5 * (RawData!J17 - RawData!K17)))</f>
        <v>0.94623655913978499</v>
      </c>
      <c r="D12" s="28">
        <f>RawData!F23/(RawData!F23 + (0.5 * (RawData!E23 - RawData!F23)))</f>
        <v>0.65446224256292906</v>
      </c>
      <c r="E12" s="28">
        <f>RawData!K23/(RawData!K23 + (0.5 * (RawData!J23 - RawData!K23)))</f>
        <v>0.6266562743569758</v>
      </c>
    </row>
    <row r="13" spans="1:7" x14ac:dyDescent="0.2">
      <c r="A13" s="32">
        <v>0.75</v>
      </c>
      <c r="B13" s="27">
        <f>RawData!F18/(RawData!F18 + (0.5 * (RawData!E18 - RawData!F18)))</f>
        <v>0.99592786503781272</v>
      </c>
      <c r="C13" s="27">
        <f>RawData!K18/(RawData!K18 + (0.5 * (RawData!J18 - RawData!K18)))</f>
        <v>0.96592946802151824</v>
      </c>
      <c r="D13" s="27">
        <f>RawData!F24/(RawData!F24 + (0.5 * (RawData!E24 - RawData!F24)))</f>
        <v>0.61599366587490101</v>
      </c>
      <c r="E13" s="27">
        <f>RawData!K24/(RawData!K24 + (0.5 * (RawData!J24 - RawData!K24)))</f>
        <v>0.57929883138564275</v>
      </c>
    </row>
    <row r="14" spans="1:7" x14ac:dyDescent="0.2">
      <c r="A14" s="33">
        <v>1</v>
      </c>
      <c r="B14" s="28">
        <f>RawData!F19/(RawData!F19 + (0.5 * (RawData!E19 - RawData!F19)))</f>
        <v>0.99194476409666288</v>
      </c>
      <c r="C14" s="28">
        <f>RawData!K19/(RawData!K19 + (0.5 * (RawData!J19 - RawData!K19)))</f>
        <v>0.9268882175226586</v>
      </c>
      <c r="D14" s="28">
        <f>RawData!F25/(RawData!F25 + (0.5 * (RawData!E25 - RawData!F25)))</f>
        <v>0.65583913379737047</v>
      </c>
      <c r="E14" s="28">
        <f>RawData!K25/(RawData!K25 + (0.5 * (RawData!J25 - RawData!K25)))</f>
        <v>0.61651676206050698</v>
      </c>
    </row>
    <row r="15" spans="1:7" x14ac:dyDescent="0.2">
      <c r="A15" s="58"/>
      <c r="B15" s="58"/>
      <c r="C15" s="58"/>
      <c r="D15" s="58"/>
      <c r="E15" s="58"/>
    </row>
    <row r="16" spans="1:7" x14ac:dyDescent="0.2">
      <c r="A16" s="58"/>
      <c r="B16" s="58"/>
      <c r="C16" s="58"/>
      <c r="D16" s="58"/>
      <c r="E16" s="58"/>
    </row>
    <row r="18" spans="2:4" x14ac:dyDescent="0.2">
      <c r="B18" s="59" t="s">
        <v>29</v>
      </c>
      <c r="C18" s="59"/>
      <c r="D18" s="59"/>
    </row>
    <row r="19" spans="2:4" x14ac:dyDescent="0.2">
      <c r="B19" s="59"/>
      <c r="C19" s="59"/>
      <c r="D19" s="59"/>
    </row>
    <row r="20" spans="2:4" x14ac:dyDescent="0.2">
      <c r="B20" s="59"/>
      <c r="C20" s="59"/>
      <c r="D20" s="59"/>
    </row>
    <row r="21" spans="2:4" x14ac:dyDescent="0.2">
      <c r="B21" s="59"/>
      <c r="C21" s="59"/>
      <c r="D21" s="59"/>
    </row>
    <row r="22" spans="2:4" x14ac:dyDescent="0.2">
      <c r="B22" s="59"/>
      <c r="C22" s="59"/>
      <c r="D22" s="59"/>
    </row>
  </sheetData>
  <mergeCells count="5">
    <mergeCell ref="A1:E1"/>
    <mergeCell ref="A7:E8"/>
    <mergeCell ref="A9:E9"/>
    <mergeCell ref="A15:E16"/>
    <mergeCell ref="B18:D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D1B7-CEBE-4745-A6B4-0006F59E57EC}">
  <dimension ref="A1:E16"/>
  <sheetViews>
    <sheetView workbookViewId="0">
      <selection activeCell="G8" sqref="G8"/>
    </sheetView>
  </sheetViews>
  <sheetFormatPr baseColWidth="10" defaultRowHeight="16" x14ac:dyDescent="0.2"/>
  <cols>
    <col min="2" max="5" width="16.6640625" customWidth="1"/>
  </cols>
  <sheetData>
    <row r="1" spans="1:5" ht="40" customHeight="1" x14ac:dyDescent="0.2">
      <c r="A1" s="60" t="s">
        <v>24</v>
      </c>
      <c r="B1" s="60"/>
      <c r="C1" s="60"/>
      <c r="D1" s="60"/>
      <c r="E1" s="60"/>
    </row>
    <row r="2" spans="1:5" ht="51" x14ac:dyDescent="0.2">
      <c r="A2" s="31" t="s">
        <v>20</v>
      </c>
      <c r="B2" s="31" t="s">
        <v>16</v>
      </c>
      <c r="C2" s="31" t="s">
        <v>17</v>
      </c>
      <c r="D2" s="31" t="s">
        <v>18</v>
      </c>
      <c r="E2" s="31" t="s">
        <v>19</v>
      </c>
    </row>
    <row r="3" spans="1:5" x14ac:dyDescent="0.2">
      <c r="A3" s="32">
        <v>0.25</v>
      </c>
      <c r="B3" s="27">
        <f>Accuracy!B3-Accuracy!B11</f>
        <v>0.7299107142857143</v>
      </c>
      <c r="C3" s="27">
        <f>Accuracy!C3-Accuracy!C11</f>
        <v>0.35022522522522526</v>
      </c>
      <c r="D3" s="27">
        <f>Accuracy!D3-Accuracy!D11</f>
        <v>0.73913043478260865</v>
      </c>
      <c r="E3" s="27">
        <f>Accuracy!E3-Accuracy!E11</f>
        <v>0.53285543608124253</v>
      </c>
    </row>
    <row r="4" spans="1:5" x14ac:dyDescent="0.2">
      <c r="A4" s="33">
        <v>0.5</v>
      </c>
      <c r="B4" s="28">
        <f>Accuracy!B4-Accuracy!B12</f>
        <v>5.3571428571428603E-2</v>
      </c>
      <c r="C4" s="28">
        <f>Accuracy!C4-Accuracy!C12</f>
        <v>9.4104308390022706E-2</v>
      </c>
      <c r="D4" s="28">
        <f>Accuracy!D4-Accuracy!D12</f>
        <v>0.51700680272108834</v>
      </c>
      <c r="E4" s="28">
        <f>Accuracy!E4-Accuracy!E12</f>
        <v>0.32576617480136211</v>
      </c>
    </row>
    <row r="5" spans="1:5" x14ac:dyDescent="0.2">
      <c r="A5" s="32">
        <v>0.75</v>
      </c>
      <c r="B5" s="27">
        <f>Accuracy!B5-Accuracy!B13</f>
        <v>8.1112398609501923E-3</v>
      </c>
      <c r="C5" s="27">
        <f>Accuracy!C5-Accuracy!C13</f>
        <v>3.5838150289017379E-2</v>
      </c>
      <c r="D5" s="27">
        <f>Accuracy!D5-Accuracy!D13</f>
        <v>0.56407322654462244</v>
      </c>
      <c r="E5" s="27">
        <f>Accuracy!E5-Accuracy!E13</f>
        <v>0.25381903642773207</v>
      </c>
    </row>
    <row r="6" spans="1:5" x14ac:dyDescent="0.2">
      <c r="A6" s="33">
        <v>1</v>
      </c>
      <c r="B6" s="28">
        <f>Accuracy!B6-Accuracy!B14</f>
        <v>-1.1415525114154557E-3</v>
      </c>
      <c r="C6" s="28">
        <f>Accuracy!C6-Accuracy!C14</f>
        <v>0.10585585585585588</v>
      </c>
      <c r="D6" s="28">
        <f>Accuracy!D6-Accuracy!D14</f>
        <v>0.52359033371691588</v>
      </c>
      <c r="E6" s="28">
        <f>Accuracy!E6-Accuracy!E14</f>
        <v>0.22104018912529549</v>
      </c>
    </row>
    <row r="7" spans="1:5" x14ac:dyDescent="0.2">
      <c r="A7" s="58"/>
      <c r="B7" s="58"/>
      <c r="C7" s="58"/>
      <c r="D7" s="58"/>
      <c r="E7" s="58"/>
    </row>
    <row r="8" spans="1:5" x14ac:dyDescent="0.2">
      <c r="A8" s="58"/>
      <c r="B8" s="58"/>
      <c r="C8" s="58"/>
      <c r="D8" s="58"/>
      <c r="E8" s="58"/>
    </row>
    <row r="9" spans="1:5" ht="40" customHeight="1" x14ac:dyDescent="0.2">
      <c r="A9" s="61" t="s">
        <v>25</v>
      </c>
      <c r="B9" s="61"/>
      <c r="C9" s="61"/>
      <c r="D9" s="61"/>
      <c r="E9" s="61"/>
    </row>
    <row r="10" spans="1:5" ht="51" x14ac:dyDescent="0.2">
      <c r="A10" s="31" t="s">
        <v>20</v>
      </c>
      <c r="B10" s="31" t="s">
        <v>16</v>
      </c>
      <c r="C10" s="31" t="s">
        <v>17</v>
      </c>
      <c r="D10" s="31" t="s">
        <v>18</v>
      </c>
      <c r="E10" s="31" t="s">
        <v>19</v>
      </c>
    </row>
    <row r="11" spans="1:5" x14ac:dyDescent="0.2">
      <c r="A11" s="32">
        <v>0.25</v>
      </c>
      <c r="B11" s="27">
        <f>Accuracy!B11-Accuracy!B3</f>
        <v>-0.7299107142857143</v>
      </c>
      <c r="C11" s="27">
        <f>Accuracy!C11-Accuracy!C3</f>
        <v>-0.35022522522522526</v>
      </c>
      <c r="D11" s="27">
        <f>Accuracy!D11-Accuracy!D3</f>
        <v>-0.73913043478260865</v>
      </c>
      <c r="E11" s="27">
        <f>Accuracy!E11-Accuracy!E3</f>
        <v>-0.53285543608124253</v>
      </c>
    </row>
    <row r="12" spans="1:5" x14ac:dyDescent="0.2">
      <c r="A12" s="33">
        <v>0.5</v>
      </c>
      <c r="B12" s="28">
        <f>Accuracy!B12-Accuracy!B4</f>
        <v>-5.3571428571428603E-2</v>
      </c>
      <c r="C12" s="28">
        <f>Accuracy!C12-Accuracy!C4</f>
        <v>-9.4104308390022706E-2</v>
      </c>
      <c r="D12" s="28">
        <f>Accuracy!D12-Accuracy!D4</f>
        <v>-0.51700680272108834</v>
      </c>
      <c r="E12" s="28">
        <f>Accuracy!E12-Accuracy!E4</f>
        <v>-0.32576617480136211</v>
      </c>
    </row>
    <row r="13" spans="1:5" x14ac:dyDescent="0.2">
      <c r="A13" s="32">
        <v>0.75</v>
      </c>
      <c r="B13" s="27">
        <f>Accuracy!B13-Accuracy!B5</f>
        <v>-8.1112398609501923E-3</v>
      </c>
      <c r="C13" s="27">
        <f>Accuracy!C13-Accuracy!C5</f>
        <v>-3.5838150289017379E-2</v>
      </c>
      <c r="D13" s="27">
        <f>Accuracy!D13-Accuracy!D5</f>
        <v>-0.56407322654462244</v>
      </c>
      <c r="E13" s="27">
        <f>Accuracy!E13-Accuracy!E5</f>
        <v>-0.25381903642773207</v>
      </c>
    </row>
    <row r="14" spans="1:5" x14ac:dyDescent="0.2">
      <c r="A14" s="33">
        <v>1</v>
      </c>
      <c r="B14" s="28">
        <f>Accuracy!B14-Accuracy!B6</f>
        <v>1.1415525114154557E-3</v>
      </c>
      <c r="C14" s="28">
        <f>Accuracy!C14-Accuracy!C6</f>
        <v>-0.10585585585585588</v>
      </c>
      <c r="D14" s="28">
        <f>Accuracy!D14-Accuracy!D6</f>
        <v>-0.52359033371691588</v>
      </c>
      <c r="E14" s="28">
        <f>Accuracy!E14-Accuracy!E6</f>
        <v>-0.22104018912529549</v>
      </c>
    </row>
    <row r="15" spans="1:5" x14ac:dyDescent="0.2">
      <c r="A15" s="58"/>
      <c r="B15" s="58"/>
      <c r="C15" s="58"/>
      <c r="D15" s="58"/>
      <c r="E15" s="58"/>
    </row>
    <row r="16" spans="1:5" x14ac:dyDescent="0.2">
      <c r="A16" s="58"/>
      <c r="B16" s="58"/>
      <c r="C16" s="58"/>
      <c r="D16" s="58"/>
      <c r="E16" s="58"/>
    </row>
  </sheetData>
  <mergeCells count="4">
    <mergeCell ref="A1:E1"/>
    <mergeCell ref="A7:E8"/>
    <mergeCell ref="A9:E9"/>
    <mergeCell ref="A15: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RawData</vt:lpstr>
      <vt:lpstr>Accuracy</vt:lpstr>
      <vt:lpstr>F1Score</vt:lpstr>
      <vt:lpstr>YoloImprovement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Strzelczyk</dc:creator>
  <cp:lastModifiedBy>Nick Strzelczyk</cp:lastModifiedBy>
  <dcterms:created xsi:type="dcterms:W3CDTF">2025-02-07T19:59:35Z</dcterms:created>
  <dcterms:modified xsi:type="dcterms:W3CDTF">2025-02-14T17:37:27Z</dcterms:modified>
</cp:coreProperties>
</file>