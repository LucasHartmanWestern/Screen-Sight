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oca-my.sharepoint.com/personal/lhartma8_uwo_ca/Documents/University Notes/Y5S2/"/>
    </mc:Choice>
  </mc:AlternateContent>
  <xr:revisionPtr revIDLastSave="360" documentId="8_{31182B46-0B49-4E12-BCD8-880008D3A114}" xr6:coauthVersionLast="47" xr6:coauthVersionMax="47" xr10:uidLastSave="{872294EF-9232-49BF-B0FB-7EEDF4FF205B}"/>
  <bookViews>
    <workbookView xWindow="-105" yWindow="0" windowWidth="38610" windowHeight="20985" activeTab="3" xr2:uid="{08FD64ED-E66D-AB40-8BA8-4D60C0E42210}"/>
  </bookViews>
  <sheets>
    <sheet name="Attempt 1" sheetId="2" r:id="rId1"/>
    <sheet name="Attempt 2" sheetId="1" r:id="rId2"/>
    <sheet name="Attempt 3" sheetId="3" r:id="rId3"/>
    <sheet name="Summary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5" l="1"/>
  <c r="H39" i="5"/>
  <c r="I39" i="5"/>
  <c r="G40" i="5"/>
  <c r="H40" i="5"/>
  <c r="I40" i="5"/>
  <c r="G41" i="5"/>
  <c r="H41" i="5"/>
  <c r="I41" i="5"/>
  <c r="G42" i="5"/>
  <c r="H42" i="5"/>
  <c r="I42" i="5"/>
  <c r="G43" i="5"/>
  <c r="H43" i="5"/>
  <c r="I43" i="5"/>
  <c r="F39" i="5"/>
  <c r="F40" i="5"/>
  <c r="F41" i="5"/>
  <c r="F42" i="5"/>
  <c r="F43" i="5"/>
  <c r="C39" i="5"/>
  <c r="D39" i="5"/>
  <c r="E39" i="5"/>
  <c r="C40" i="5"/>
  <c r="D40" i="5"/>
  <c r="E40" i="5"/>
  <c r="C41" i="5"/>
  <c r="D41" i="5"/>
  <c r="E41" i="5"/>
  <c r="C42" i="5"/>
  <c r="D42" i="5"/>
  <c r="E42" i="5"/>
  <c r="C43" i="5"/>
  <c r="D43" i="5"/>
  <c r="E43" i="5"/>
  <c r="B39" i="5"/>
  <c r="B40" i="5"/>
  <c r="B41" i="5"/>
  <c r="B42" i="5"/>
  <c r="B43" i="5"/>
  <c r="G31" i="5"/>
  <c r="H31" i="5"/>
  <c r="I31" i="5"/>
  <c r="G32" i="5"/>
  <c r="H32" i="5"/>
  <c r="I32" i="5"/>
  <c r="G33" i="5"/>
  <c r="H33" i="5"/>
  <c r="I33" i="5"/>
  <c r="G34" i="5"/>
  <c r="H34" i="5"/>
  <c r="I34" i="5"/>
  <c r="G35" i="5"/>
  <c r="H35" i="5"/>
  <c r="I35" i="5"/>
  <c r="F31" i="5"/>
  <c r="F32" i="5"/>
  <c r="F33" i="5"/>
  <c r="F34" i="5"/>
  <c r="F35" i="5"/>
  <c r="E31" i="5"/>
  <c r="E32" i="5"/>
  <c r="E33" i="5"/>
  <c r="E34" i="5"/>
  <c r="E35" i="5"/>
  <c r="D31" i="5"/>
  <c r="D32" i="5"/>
  <c r="D33" i="5"/>
  <c r="D34" i="5"/>
  <c r="D35" i="5"/>
  <c r="C31" i="5"/>
  <c r="C32" i="5"/>
  <c r="C33" i="5"/>
  <c r="C34" i="5"/>
  <c r="C35" i="5"/>
  <c r="B31" i="5"/>
  <c r="B32" i="5"/>
  <c r="B33" i="5"/>
  <c r="B34" i="5"/>
  <c r="B35" i="5"/>
  <c r="F22" i="3"/>
  <c r="F23" i="3"/>
  <c r="F24" i="3"/>
  <c r="F25" i="3"/>
  <c r="F21" i="3"/>
  <c r="L22" i="3"/>
  <c r="L23" i="3"/>
  <c r="L24" i="3"/>
  <c r="L25" i="3"/>
  <c r="L21" i="3"/>
  <c r="L6" i="3"/>
  <c r="L7" i="3"/>
  <c r="L8" i="3"/>
  <c r="L9" i="3"/>
  <c r="L5" i="3"/>
  <c r="F6" i="3"/>
  <c r="F7" i="3"/>
  <c r="F8" i="3"/>
  <c r="F9" i="3"/>
  <c r="F5" i="3"/>
  <c r="L22" i="1"/>
  <c r="L23" i="1"/>
  <c r="L24" i="1"/>
  <c r="L25" i="1"/>
  <c r="L21" i="1"/>
  <c r="F22" i="1"/>
  <c r="F23" i="1"/>
  <c r="F24" i="1"/>
  <c r="F25" i="1"/>
  <c r="F21" i="1"/>
  <c r="L6" i="1"/>
  <c r="L7" i="1"/>
  <c r="L8" i="1"/>
  <c r="L9" i="1"/>
  <c r="L5" i="1"/>
  <c r="F6" i="1"/>
  <c r="F7" i="1"/>
  <c r="F8" i="1"/>
  <c r="F9" i="1"/>
  <c r="F5" i="1"/>
  <c r="L22" i="2"/>
  <c r="L23" i="2"/>
  <c r="L24" i="2"/>
  <c r="L25" i="2"/>
  <c r="L21" i="2"/>
  <c r="F22" i="2"/>
  <c r="F23" i="2"/>
  <c r="F24" i="2"/>
  <c r="F25" i="2"/>
  <c r="F21" i="2"/>
  <c r="L5" i="2"/>
  <c r="L6" i="2"/>
  <c r="L7" i="2"/>
  <c r="L8" i="2"/>
  <c r="L9" i="2"/>
  <c r="F6" i="2"/>
  <c r="F7" i="2"/>
  <c r="F8" i="2"/>
  <c r="F9" i="2"/>
  <c r="F5" i="2"/>
</calcChain>
</file>

<file path=xl/sharedStrings.xml><?xml version="1.0" encoding="utf-8"?>
<sst xmlns="http://schemas.openxmlformats.org/spreadsheetml/2006/main" count="301" uniqueCount="61">
  <si>
    <t>YOLO Model</t>
  </si>
  <si>
    <t>Avg DPS</t>
  </si>
  <si>
    <t>Avg FPS</t>
  </si>
  <si>
    <t>Fiducial Marker 25% Opcaity</t>
  </si>
  <si>
    <t>Fiducial Marker 50% Opcaity</t>
  </si>
  <si>
    <t>Fiducial Marker 75% Opacity</t>
  </si>
  <si>
    <t>Fiducial Marker 100% Opacity</t>
  </si>
  <si>
    <t>Bright Lighting</t>
  </si>
  <si>
    <t>Frames</t>
  </si>
  <si>
    <t>Detections</t>
  </si>
  <si>
    <t>Time</t>
  </si>
  <si>
    <t>Dark Lighting</t>
  </si>
  <si>
    <t>CLEAN BACKGROUND</t>
  </si>
  <si>
    <t>NOISY BACKGROUND</t>
  </si>
  <si>
    <t>Natural Lighting</t>
  </si>
  <si>
    <t>Std DPS</t>
  </si>
  <si>
    <t>Std FPS</t>
  </si>
  <si>
    <t>Std Frames</t>
  </si>
  <si>
    <t>Std Detections</t>
  </si>
  <si>
    <t>Std Time</t>
  </si>
  <si>
    <t>Avg Frames</t>
  </si>
  <si>
    <t>Avg Detections</t>
  </si>
  <si>
    <t>Avg Time</t>
  </si>
  <si>
    <t>Avg Accuracy</t>
  </si>
  <si>
    <t>Std Accuracy</t>
  </si>
  <si>
    <t>Accuracy</t>
  </si>
  <si>
    <t>Clean Background</t>
  </si>
  <si>
    <t>Noisy Background</t>
  </si>
  <si>
    <t>Model Type</t>
  </si>
  <si>
    <t>Avg FPS CB</t>
  </si>
  <si>
    <t>Std FPS  CB</t>
  </si>
  <si>
    <t>Avg Accuracy  CB</t>
  </si>
  <si>
    <t>Std Accuracy  CB</t>
  </si>
  <si>
    <t>Avg FPS CL</t>
  </si>
  <si>
    <t>Std FPS CL</t>
  </si>
  <si>
    <t>Avg Accuracy CL</t>
  </si>
  <si>
    <t>Std Accuracy CL</t>
  </si>
  <si>
    <t>Avg FPS NB</t>
  </si>
  <si>
    <t>Std FPS NB</t>
  </si>
  <si>
    <t>Avg Accuracy NB</t>
  </si>
  <si>
    <t>Std Accuracy NB</t>
  </si>
  <si>
    <t>Avg FPS NL</t>
  </si>
  <si>
    <t>Std FPS NL</t>
  </si>
  <si>
    <t>Avg Accuracy NL</t>
  </si>
  <si>
    <t>Std Accuracy NL</t>
  </si>
  <si>
    <t>Avg FPS C</t>
  </si>
  <si>
    <t>Std FPS  C</t>
  </si>
  <si>
    <t>Avg Accuracy  C</t>
  </si>
  <si>
    <t>Std Accuracy  C</t>
  </si>
  <si>
    <t>Avg FPS N</t>
  </si>
  <si>
    <t>Std FPS N</t>
  </si>
  <si>
    <t>Avg Accuracy N</t>
  </si>
  <si>
    <t>Std Accuracy N</t>
  </si>
  <si>
    <t>Avg FPS B</t>
  </si>
  <si>
    <t>Std FPS  B</t>
  </si>
  <si>
    <t>Avg Accuracy  B</t>
  </si>
  <si>
    <t>Std Accuracy  B</t>
  </si>
  <si>
    <t>Avg FPS D</t>
  </si>
  <si>
    <t>Std FPS D</t>
  </si>
  <si>
    <t>Avg Accuracy D</t>
  </si>
  <si>
    <t>Std Accuracy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</si>
</sst>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66"/>
        <bgColor indexed="64"/>
      </patternFill>
    </fill>
    <fill>
      <patternFill patternType="solid">
        <fgColor theme="4" tint="0.39997558519241921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0" fillId="2" borderId="1" xfId="0" applyFill="1" applyBorder="1"/>
    <xf numFmtId="0" fontId="0" fillId="4" borderId="1" xfId="0" applyFill="1" applyBorder="1"/>
    <xf numFmtId="0" fontId="0" fillId="2" borderId="2" xfId="0" applyFill="1" applyBorder="1"/>
    <xf numFmtId="0" fontId="0" fillId="4" borderId="2" xfId="0" applyFill="1" applyBorder="1"/>
    <xf numFmtId="0" fontId="0" fillId="3" borderId="1" xfId="0" applyFill="1" applyBorder="1"/>
    <xf numFmtId="0" fontId="0" fillId="3" borderId="2" xfId="0" applyFill="1" applyBorder="1"/>
    <xf numFmtId="0" fontId="0" fillId="7" borderId="1" xfId="0" applyFill="1" applyBorder="1"/>
    <xf numFmtId="0" fontId="0" fillId="7" borderId="2" xfId="0" applyFill="1" applyBorder="1"/>
    <xf numFmtId="0" fontId="1" fillId="4" borderId="1" xfId="0" applyFont="1" applyFill="1" applyBorder="1"/>
    <xf numFmtId="0" fontId="1" fillId="4" borderId="2" xfId="0" applyFont="1" applyFill="1" applyBorder="1"/>
    <xf numFmtId="0" fontId="1" fillId="7" borderId="1" xfId="0" applyFont="1" applyFill="1" applyBorder="1"/>
    <xf numFmtId="0" fontId="1" fillId="7" borderId="2" xfId="0" applyFont="1" applyFill="1" applyBorder="1"/>
    <xf numFmtId="0" fontId="1" fillId="2" borderId="3" xfId="0" applyFont="1" applyFill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7" borderId="3" xfId="0" applyFont="1" applyFill="1" applyBorder="1" applyAlignment="1">
      <alignment wrapText="1"/>
    </xf>
    <xf numFmtId="0" fontId="1" fillId="4" borderId="10" xfId="0" applyFont="1" applyFill="1" applyBorder="1"/>
    <xf numFmtId="0" fontId="0" fillId="2" borderId="10" xfId="0" applyFill="1" applyBorder="1"/>
    <xf numFmtId="0" fontId="0" fillId="4" borderId="10" xfId="0" applyFill="1" applyBorder="1"/>
    <xf numFmtId="0" fontId="1" fillId="7" borderId="10" xfId="0" applyFont="1" applyFill="1" applyBorder="1"/>
    <xf numFmtId="0" fontId="0" fillId="3" borderId="10" xfId="0" applyFill="1" applyBorder="1"/>
    <xf numFmtId="0" fontId="0" fillId="7" borderId="10" xfId="0" applyFill="1" applyBorder="1"/>
    <xf numFmtId="0" fontId="0" fillId="8" borderId="11" xfId="0" applyFill="1" applyBorder="1"/>
    <xf numFmtId="0" fontId="1" fillId="6" borderId="6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0" fillId="8" borderId="6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0" fillId="8" borderId="7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1" fillId="4" borderId="12" xfId="0" applyFont="1" applyFill="1" applyBorder="1"/>
    <xf numFmtId="0" fontId="1" fillId="4" borderId="13" xfId="0" applyFont="1" applyFill="1" applyBorder="1"/>
    <xf numFmtId="0" fontId="1" fillId="4" borderId="14" xfId="0" applyFont="1" applyFill="1" applyBorder="1"/>
    <xf numFmtId="0" fontId="0" fillId="2" borderId="3" xfId="0" applyFill="1" applyBorder="1"/>
    <xf numFmtId="0" fontId="1" fillId="4" borderId="0" xfId="0" applyFont="1" applyFill="1" applyBorder="1"/>
    <xf numFmtId="2" fontId="0" fillId="2" borderId="17" xfId="0" applyNumberFormat="1" applyFill="1" applyBorder="1"/>
    <xf numFmtId="2" fontId="0" fillId="2" borderId="18" xfId="0" applyNumberFormat="1" applyFill="1" applyBorder="1"/>
    <xf numFmtId="2" fontId="0" fillId="2" borderId="25" xfId="0" applyNumberFormat="1" applyFill="1" applyBorder="1"/>
    <xf numFmtId="2" fontId="0" fillId="2" borderId="19" xfId="0" applyNumberFormat="1" applyFill="1" applyBorder="1"/>
    <xf numFmtId="2" fontId="0" fillId="2" borderId="20" xfId="0" applyNumberFormat="1" applyFill="1" applyBorder="1"/>
    <xf numFmtId="2" fontId="0" fillId="2" borderId="1" xfId="0" applyNumberFormat="1" applyFill="1" applyBorder="1"/>
    <xf numFmtId="2" fontId="0" fillId="2" borderId="3" xfId="0" applyNumberFormat="1" applyFill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0" fillId="2" borderId="23" xfId="0" applyNumberFormat="1" applyFill="1" applyBorder="1"/>
    <xf numFmtId="2" fontId="0" fillId="2" borderId="26" xfId="0" applyNumberFormat="1" applyFill="1" applyBorder="1"/>
    <xf numFmtId="2" fontId="0" fillId="2" borderId="24" xfId="0" applyNumberFormat="1" applyFill="1" applyBorder="1"/>
    <xf numFmtId="0" fontId="1" fillId="2" borderId="3" xfId="0" applyFont="1" applyFill="1" applyBorder="1" applyAlignment="1">
      <alignment horizontal="center"/>
    </xf>
    <xf numFmtId="0" fontId="1" fillId="4" borderId="3" xfId="0" applyFont="1" applyFill="1" applyBorder="1"/>
    <xf numFmtId="0" fontId="1" fillId="3" borderId="3" xfId="0" applyFont="1" applyFill="1" applyBorder="1" applyAlignment="1">
      <alignment horizontal="center"/>
    </xf>
    <xf numFmtId="0" fontId="1" fillId="7" borderId="3" xfId="0" applyFont="1" applyFill="1" applyBorder="1"/>
    <xf numFmtId="0" fontId="0" fillId="3" borderId="3" xfId="0" applyFill="1" applyBorder="1"/>
    <xf numFmtId="0" fontId="0" fillId="7" borderId="3" xfId="0" applyFill="1" applyBorder="1"/>
    <xf numFmtId="0" fontId="1" fillId="4" borderId="7" xfId="0" applyFont="1" applyFill="1" applyBorder="1"/>
    <xf numFmtId="0" fontId="0" fillId="8" borderId="30" xfId="0" applyFill="1" applyBorder="1"/>
    <xf numFmtId="0" fontId="1" fillId="6" borderId="28" xfId="0" applyFont="1" applyFill="1" applyBorder="1" applyAlignment="1">
      <alignment horizontal="center" vertical="center"/>
    </xf>
    <xf numFmtId="0" fontId="1" fillId="6" borderId="29" xfId="0" applyFon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0" fontId="1" fillId="5" borderId="29" xfId="0" applyFont="1" applyFill="1" applyBorder="1" applyAlignment="1">
      <alignment horizontal="center" vertical="center"/>
    </xf>
    <xf numFmtId="0" fontId="1" fillId="5" borderId="31" xfId="0" applyFont="1" applyFill="1" applyBorder="1" applyAlignment="1">
      <alignment horizontal="center" vertical="center"/>
    </xf>
    <xf numFmtId="0" fontId="1" fillId="5" borderId="32" xfId="0" applyFont="1" applyFill="1" applyBorder="1" applyAlignment="1">
      <alignment horizontal="center" vertical="center"/>
    </xf>
    <xf numFmtId="0" fontId="0" fillId="8" borderId="33" xfId="0" applyFill="1" applyBorder="1" applyAlignment="1">
      <alignment horizontal="center"/>
    </xf>
    <xf numFmtId="0" fontId="0" fillId="8" borderId="34" xfId="0" applyFill="1" applyBorder="1" applyAlignment="1">
      <alignment horizontal="center"/>
    </xf>
    <xf numFmtId="0" fontId="0" fillId="8" borderId="35" xfId="0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4" borderId="16" xfId="0" applyFont="1" applyFill="1" applyBorder="1"/>
    <xf numFmtId="0" fontId="1" fillId="2" borderId="35" xfId="0" applyFont="1" applyFill="1" applyBorder="1" applyAlignment="1">
      <alignment wrapText="1"/>
    </xf>
    <xf numFmtId="0" fontId="1" fillId="4" borderId="35" xfId="0" applyFont="1" applyFill="1" applyBorder="1" applyAlignment="1">
      <alignment wrapText="1"/>
    </xf>
    <xf numFmtId="0" fontId="0" fillId="8" borderId="36" xfId="0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1" fillId="2" borderId="37" xfId="0" applyFont="1" applyFill="1" applyBorder="1" applyAlignment="1">
      <alignment wrapText="1"/>
    </xf>
    <xf numFmtId="2" fontId="0" fillId="4" borderId="20" xfId="0" applyNumberFormat="1" applyFill="1" applyBorder="1"/>
    <xf numFmtId="2" fontId="0" fillId="4" borderId="1" xfId="0" applyNumberFormat="1" applyFill="1" applyBorder="1"/>
    <xf numFmtId="2" fontId="0" fillId="4" borderId="21" xfId="0" applyNumberFormat="1" applyFill="1" applyBorder="1"/>
    <xf numFmtId="2" fontId="0" fillId="4" borderId="3" xfId="0" applyNumberFormat="1" applyFill="1" applyBorder="1"/>
    <xf numFmtId="0" fontId="0" fillId="6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2" fontId="0" fillId="0" borderId="1" xfId="0" applyNumberFormat="1" applyFill="1" applyBorder="1"/>
    <xf numFmtId="0" fontId="0" fillId="11" borderId="13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4" fillId="0" borderId="38" xfId="0" applyFont="1" applyFill="1" applyBorder="1"/>
    <xf numFmtId="0" fontId="2" fillId="0" borderId="39" xfId="0" applyFont="1" applyFill="1" applyBorder="1"/>
    <xf numFmtId="0" fontId="2" fillId="0" borderId="9" xfId="0" applyFont="1" applyFill="1" applyBorder="1"/>
    <xf numFmtId="0" fontId="3" fillId="0" borderId="27" xfId="0" applyFont="1" applyFill="1" applyBorder="1" applyAlignment="1">
      <alignment wrapText="1"/>
    </xf>
    <xf numFmtId="2" fontId="0" fillId="0" borderId="3" xfId="0" applyNumberFormat="1" applyFill="1" applyBorder="1"/>
    <xf numFmtId="0" fontId="3" fillId="0" borderId="40" xfId="0" applyFont="1" applyFill="1" applyBorder="1" applyAlignment="1">
      <alignment wrapText="1"/>
    </xf>
    <xf numFmtId="2" fontId="0" fillId="0" borderId="13" xfId="0" applyNumberFormat="1" applyFill="1" applyBorder="1"/>
    <xf numFmtId="2" fontId="0" fillId="0" borderId="7" xfId="0" applyNumberFormat="1" applyFill="1" applyBorder="1"/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27" xfId="0" applyFill="1" applyBorder="1" applyAlignment="1">
      <alignment horizontal="center"/>
    </xf>
    <xf numFmtId="0" fontId="0" fillId="0" borderId="0" xfId="0" applyFill="1" applyBorder="1" applyAlignment="1"/>
    <xf numFmtId="0" fontId="3" fillId="10" borderId="27" xfId="0" applyFont="1" applyFill="1" applyBorder="1" applyAlignment="1">
      <alignment wrapText="1"/>
    </xf>
    <xf numFmtId="0" fontId="3" fillId="0" borderId="27" xfId="0" applyFont="1" applyBorder="1" applyAlignment="1">
      <alignment wrapText="1"/>
    </xf>
    <xf numFmtId="0" fontId="2" fillId="9" borderId="38" xfId="0" applyFont="1" applyFill="1" applyBorder="1"/>
    <xf numFmtId="0" fontId="2" fillId="9" borderId="39" xfId="0" applyFont="1" applyFill="1" applyBorder="1"/>
    <xf numFmtId="2" fontId="0" fillId="0" borderId="0" xfId="0" applyNumberFormat="1"/>
  </cellXfs>
  <cellStyles count="1">
    <cellStyle name="Normal" xfId="0" builtinId="0"/>
  </cellStyles>
  <dxfs count="37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Aptos Narrow"/>
        <scheme val="minor"/>
      </font>
      <numFmt numFmtId="2" formatCode="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Aptos Narrow"/>
        <scheme val="minor"/>
      </font>
      <numFmt numFmtId="2" formatCode="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Aptos Narrow"/>
        <scheme val="minor"/>
      </font>
      <numFmt numFmtId="2" formatCode="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Aptos Narrow"/>
        <scheme val="minor"/>
      </font>
      <numFmt numFmtId="2" formatCode="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Aptos Narrow"/>
        <scheme val="minor"/>
      </font>
      <numFmt numFmtId="2" formatCode="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Aptos Narrow"/>
        <scheme val="minor"/>
      </font>
      <numFmt numFmtId="2" formatCode="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Aptos Narrow"/>
        <scheme val="minor"/>
      </font>
      <numFmt numFmtId="2" formatCode="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Aptos Narrow"/>
        <scheme val="minor"/>
      </font>
      <numFmt numFmtId="2" formatCode="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Aptos Narrow"/>
        <scheme val="minor"/>
      </font>
      <numFmt numFmtId="2" formatCode="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Aptos Narrow"/>
        <scheme val="minor"/>
      </font>
      <numFmt numFmtId="2" formatCode="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Aptos Narrow"/>
        <scheme val="minor"/>
      </font>
      <numFmt numFmtId="2" formatCode="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Aptos Narrow"/>
        <scheme val="minor"/>
      </font>
      <numFmt numFmtId="2" formatCode="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Aptos Narrow"/>
        <scheme val="minor"/>
      </font>
      <numFmt numFmtId="2" formatCode="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Aptos Narrow"/>
        <scheme val="minor"/>
      </font>
      <numFmt numFmtId="2" formatCode="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Aptos Narrow"/>
        <scheme val="minor"/>
      </font>
      <numFmt numFmtId="2" formatCode="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Aptos Narrow"/>
        <scheme val="minor"/>
      </font>
      <numFmt numFmtId="2" formatCode="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Aptos Narrow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036BCF-70A6-4447-B1B8-1129879E46C9}" name="Table1" displayName="Table1" ref="A22:Q27" totalsRowShown="0" headerRowDxfId="15" dataDxfId="36" headerRowBorderDxfId="34" tableBorderDxfId="35" totalsRowBorderDxfId="33">
  <autoFilter ref="A22:Q27" xr:uid="{EB036BCF-70A6-4447-B1B8-1129879E46C9}"/>
  <tableColumns count="17">
    <tableColumn id="1" xr3:uid="{9AF3072A-0D50-4A89-B6E5-256998D4822A}" name="Model Type" dataDxfId="32"/>
    <tableColumn id="2" xr3:uid="{0DE639E1-28F8-4CB9-B3AE-5AA6B5FDE97D}" name="Avg FPS CB" dataDxfId="31"/>
    <tableColumn id="3" xr3:uid="{A665767A-6926-447A-8900-A92327FDA637}" name="Std FPS  CB" dataDxfId="30"/>
    <tableColumn id="4" xr3:uid="{FD6E3179-C270-43F8-81D2-E0E760ED9FD0}" name="Avg Accuracy  CB" dataDxfId="29"/>
    <tableColumn id="5" xr3:uid="{E5D2E38B-3FD5-4BBC-A0F4-DBA2C089E8E6}" name="Std Accuracy  CB" dataDxfId="28"/>
    <tableColumn id="6" xr3:uid="{1D78EC21-6CA1-4F8C-A5C5-1A401580E4C7}" name="Avg FPS CL" dataDxfId="27"/>
    <tableColumn id="7" xr3:uid="{255B5D33-DCBC-4292-B099-393D639A745C}" name="Std FPS CL" dataDxfId="26"/>
    <tableColumn id="8" xr3:uid="{5A53FC1E-FF5C-4D8E-A6B6-F6BF6774F3E6}" name="Avg Accuracy CL" dataDxfId="25"/>
    <tableColumn id="9" xr3:uid="{FDF08420-968D-43FC-AEA9-E442F58F6198}" name="Std Accuracy CL" dataDxfId="24"/>
    <tableColumn id="10" xr3:uid="{7DF1071C-B805-42E3-9F71-CB6732B667FA}" name="Avg FPS NB" dataDxfId="23"/>
    <tableColumn id="11" xr3:uid="{E9E6B5FD-5BB0-4DD1-A556-271DEEBD00FF}" name="Std FPS NB" dataDxfId="22"/>
    <tableColumn id="12" xr3:uid="{AE03BB28-5983-4184-BBFC-04B8545B6C13}" name="Avg Accuracy NB" dataDxfId="21"/>
    <tableColumn id="13" xr3:uid="{FD96AFF6-0AD3-4FC3-B38F-36181A0B3B44}" name="Std Accuracy NB" dataDxfId="20"/>
    <tableColumn id="14" xr3:uid="{61A38D34-E7F5-4125-AA15-B2E6A0D295E9}" name="Avg FPS NL" dataDxfId="19"/>
    <tableColumn id="15" xr3:uid="{17B54622-07CE-40CF-AAF9-7B12CECB3B71}" name="Std FPS NL" dataDxfId="18"/>
    <tableColumn id="16" xr3:uid="{4F87C01D-E121-486A-AECD-D6EA1319C01C}" name="Avg Accuracy NL" dataDxfId="17"/>
    <tableColumn id="17" xr3:uid="{CF8D8C72-327D-4097-8CD0-A54E3FEB6A78}" name="Std Accuracy NL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EB1BC9-127E-4E6F-8D33-F244229A9F4E}" name="Table2" displayName="Table2" ref="A30:I35" totalsRowShown="0" headerRowDxfId="11" headerRowBorderDxfId="13" tableBorderDxfId="14">
  <autoFilter ref="A30:I35" xr:uid="{75EB1BC9-127E-4E6F-8D33-F244229A9F4E}"/>
  <tableColumns count="9">
    <tableColumn id="1" xr3:uid="{128AE751-42BC-476F-81B3-F184F122DE8E}" name="Model Type" dataDxfId="12"/>
    <tableColumn id="2" xr3:uid="{6152BC40-2925-4A8E-8638-401A7C2FE9AA}" name="Avg FPS B" dataDxfId="6">
      <calculatedColumnFormula>AVERAGE(B23, J23)</calculatedColumnFormula>
    </tableColumn>
    <tableColumn id="3" xr3:uid="{99491974-B5B1-4EC3-BC58-7537DB37664A}" name="Std FPS  B" dataDxfId="5">
      <calculatedColumnFormula>AVERAGE(C23, K23)</calculatedColumnFormula>
    </tableColumn>
    <tableColumn id="4" xr3:uid="{354ABA90-989C-49B2-8135-420DFD46A6A5}" name="Avg Accuracy  B" dataDxfId="4">
      <calculatedColumnFormula>AVERAGE(D23, L23)</calculatedColumnFormula>
    </tableColumn>
    <tableColumn id="5" xr3:uid="{6683DB34-49FE-4EBE-BAF4-81FFFB9700E5}" name="Std Accuracy  B" dataDxfId="3">
      <calculatedColumnFormula>AVERAGE(E23, M23)</calculatedColumnFormula>
    </tableColumn>
    <tableColumn id="6" xr3:uid="{46AC80AE-7B22-4314-AFD2-4C7A43D63AE2}" name="Avg FPS D" dataDxfId="2">
      <calculatedColumnFormula>AVERAGE(F23, N23)</calculatedColumnFormula>
    </tableColumn>
    <tableColumn id="7" xr3:uid="{CD77A8D3-41EB-4749-B8FF-E0B4146E50D0}" name="Std FPS D">
      <calculatedColumnFormula>AVERAGE(G23, O23)</calculatedColumnFormula>
    </tableColumn>
    <tableColumn id="8" xr3:uid="{A64915A7-6AAA-4D5A-8C69-69B07BC4E83F}" name="Avg Accuracy D">
      <calculatedColumnFormula>AVERAGE(H23, P23)</calculatedColumnFormula>
    </tableColumn>
    <tableColumn id="9" xr3:uid="{C159D2CC-3A7E-4A8E-A831-E117B5B1E726}" name="Std Accuracy D">
      <calculatedColumnFormula>AVERAGE(I23, Q23)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AD6082-15F2-4423-8BD8-E81320548F0B}" name="Table3" displayName="Table3" ref="A38:I43" totalsRowShown="0" headerRowDxfId="7" headerRowBorderDxfId="9" tableBorderDxfId="10">
  <autoFilter ref="A38:I43" xr:uid="{3FAD6082-15F2-4423-8BD8-E81320548F0B}"/>
  <tableColumns count="9">
    <tableColumn id="1" xr3:uid="{91EFAC64-2922-4305-983C-92090C16750D}" name="Model Type" dataDxfId="8"/>
    <tableColumn id="2" xr3:uid="{6D7256BE-7795-4E9C-9EF6-0DD5353378EF}" name="Avg FPS C" dataDxfId="1">
      <calculatedColumnFormula>AVERAGE(B23, F23)</calculatedColumnFormula>
    </tableColumn>
    <tableColumn id="3" xr3:uid="{5D2F007F-CB77-446F-BA95-1141092FF878}" name="Std FPS  C">
      <calculatedColumnFormula>AVERAGE(C23, G23)</calculatedColumnFormula>
    </tableColumn>
    <tableColumn id="4" xr3:uid="{32D3D0C0-DF9E-4CED-8341-91F19DC7ED38}" name="Avg Accuracy  C">
      <calculatedColumnFormula>AVERAGE(D23, H23)</calculatedColumnFormula>
    </tableColumn>
    <tableColumn id="5" xr3:uid="{2EB753D3-B8F0-4B71-BED2-5714DFD7A8F9}" name="Std Accuracy  C">
      <calculatedColumnFormula>AVERAGE(E23, I23)</calculatedColumnFormula>
    </tableColumn>
    <tableColumn id="6" xr3:uid="{0AAD353D-A536-4411-95B7-BC8D2B4FB614}" name="Avg FPS N" dataDxfId="0">
      <calculatedColumnFormula>AVERAGE(J23, N23)</calculatedColumnFormula>
    </tableColumn>
    <tableColumn id="7" xr3:uid="{5F78021A-F3F0-43FD-98B5-27D0FA30B437}" name="Std FPS N">
      <calculatedColumnFormula>AVERAGE(K23, O23)</calculatedColumnFormula>
    </tableColumn>
    <tableColumn id="8" xr3:uid="{C4BBED9D-8199-479F-B557-FA1648C3D144}" name="Avg Accuracy N">
      <calculatedColumnFormula>AVERAGE(L23, P23)</calculatedColumnFormula>
    </tableColumn>
    <tableColumn id="9" xr3:uid="{9619658F-1802-430B-946A-EE8CE8B5414C}" name="Std Accuracy N">
      <calculatedColumnFormula>AVERAGE(M23, Q23)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8B2D5-0BA6-8543-A95B-530980D8C0E5}">
  <dimension ref="A1:M25"/>
  <sheetViews>
    <sheetView workbookViewId="0">
      <selection activeCell="M22" sqref="M22"/>
    </sheetView>
  </sheetViews>
  <sheetFormatPr defaultColWidth="11" defaultRowHeight="15.75" x14ac:dyDescent="0.25"/>
  <cols>
    <col min="1" max="1" width="17.5" customWidth="1"/>
  </cols>
  <sheetData>
    <row r="1" spans="1:13" ht="30.95" customHeight="1" x14ac:dyDescent="0.25">
      <c r="A1" s="23"/>
      <c r="B1" s="24" t="s">
        <v>12</v>
      </c>
      <c r="C1" s="25"/>
      <c r="D1" s="25"/>
      <c r="E1" s="25"/>
      <c r="F1" s="25"/>
      <c r="G1" s="26"/>
      <c r="H1" s="36" t="s">
        <v>13</v>
      </c>
      <c r="I1" s="37"/>
      <c r="J1" s="37"/>
      <c r="K1" s="37"/>
      <c r="L1" s="37"/>
      <c r="M1" s="38"/>
    </row>
    <row r="2" spans="1:13" x14ac:dyDescent="0.25">
      <c r="A2" s="41"/>
      <c r="B2" s="27"/>
      <c r="C2" s="28"/>
      <c r="D2" s="28"/>
      <c r="E2" s="28"/>
      <c r="F2" s="28"/>
      <c r="G2" s="29"/>
      <c r="H2" s="27"/>
      <c r="I2" s="28"/>
      <c r="J2" s="28"/>
      <c r="K2" s="28"/>
      <c r="L2" s="28"/>
      <c r="M2" s="29"/>
    </row>
    <row r="3" spans="1:13" x14ac:dyDescent="0.25">
      <c r="A3" s="42"/>
      <c r="B3" s="33" t="s">
        <v>7</v>
      </c>
      <c r="C3" s="34"/>
      <c r="D3" s="34"/>
      <c r="E3" s="34"/>
      <c r="F3" s="60"/>
      <c r="G3" s="35"/>
      <c r="H3" s="33" t="s">
        <v>7</v>
      </c>
      <c r="I3" s="34"/>
      <c r="J3" s="34"/>
      <c r="K3" s="34"/>
      <c r="L3" s="60"/>
      <c r="M3" s="35"/>
    </row>
    <row r="4" spans="1:13" x14ac:dyDescent="0.25">
      <c r="A4" s="42"/>
      <c r="B4" s="10" t="s">
        <v>1</v>
      </c>
      <c r="C4" s="9" t="s">
        <v>2</v>
      </c>
      <c r="D4" s="9" t="s">
        <v>8</v>
      </c>
      <c r="E4" s="9" t="s">
        <v>9</v>
      </c>
      <c r="F4" s="61" t="s">
        <v>25</v>
      </c>
      <c r="G4" s="17" t="s">
        <v>10</v>
      </c>
      <c r="H4" s="10" t="s">
        <v>1</v>
      </c>
      <c r="I4" s="9" t="s">
        <v>2</v>
      </c>
      <c r="J4" s="9" t="s">
        <v>8</v>
      </c>
      <c r="K4" s="9" t="s">
        <v>9</v>
      </c>
      <c r="L4" s="61" t="s">
        <v>25</v>
      </c>
      <c r="M4" s="17" t="s">
        <v>10</v>
      </c>
    </row>
    <row r="5" spans="1:13" x14ac:dyDescent="0.25">
      <c r="A5" s="13" t="s">
        <v>0</v>
      </c>
      <c r="B5" s="3">
        <v>23.62</v>
      </c>
      <c r="C5" s="1">
        <v>23.79</v>
      </c>
      <c r="D5" s="1">
        <v>715</v>
      </c>
      <c r="E5" s="1">
        <v>710</v>
      </c>
      <c r="F5" s="46">
        <f>B5/C5</f>
        <v>0.9928541403951241</v>
      </c>
      <c r="G5" s="18">
        <v>30.06</v>
      </c>
      <c r="H5" s="3">
        <v>20.62</v>
      </c>
      <c r="I5" s="1">
        <v>20.75</v>
      </c>
      <c r="J5" s="1">
        <v>625</v>
      </c>
      <c r="K5" s="1">
        <v>621</v>
      </c>
      <c r="L5" s="46">
        <f>H5/I5</f>
        <v>0.99373493975903615</v>
      </c>
      <c r="M5" s="18">
        <v>30.12</v>
      </c>
    </row>
    <row r="6" spans="1:13" ht="31.5" x14ac:dyDescent="0.25">
      <c r="A6" s="14" t="s">
        <v>3</v>
      </c>
      <c r="B6" s="4">
        <v>0</v>
      </c>
      <c r="C6" s="2">
        <v>54.12</v>
      </c>
      <c r="D6" s="2">
        <v>1625</v>
      </c>
      <c r="E6" s="2">
        <v>0</v>
      </c>
      <c r="F6" s="46">
        <f t="shared" ref="F6:F9" si="0">B6/C6</f>
        <v>0</v>
      </c>
      <c r="G6" s="19">
        <v>30.03</v>
      </c>
      <c r="H6" s="4">
        <v>7.0000000000000007E-2</v>
      </c>
      <c r="I6" s="2">
        <v>50.94</v>
      </c>
      <c r="J6" s="2">
        <v>1530</v>
      </c>
      <c r="K6" s="2">
        <v>2</v>
      </c>
      <c r="L6" s="46">
        <f t="shared" ref="L6:L9" si="1">H6/I6</f>
        <v>1.374165685119749E-3</v>
      </c>
      <c r="M6" s="19">
        <v>30.04</v>
      </c>
    </row>
    <row r="7" spans="1:13" ht="31.5" x14ac:dyDescent="0.25">
      <c r="A7" s="13" t="s">
        <v>4</v>
      </c>
      <c r="B7" s="3">
        <v>22.95</v>
      </c>
      <c r="C7" s="1">
        <v>57.7</v>
      </c>
      <c r="D7" s="1">
        <v>1732</v>
      </c>
      <c r="E7" s="1">
        <v>689</v>
      </c>
      <c r="F7" s="46">
        <f t="shared" si="0"/>
        <v>0.39774696707105717</v>
      </c>
      <c r="G7" s="18">
        <v>30.02</v>
      </c>
      <c r="H7" s="3">
        <v>13.65</v>
      </c>
      <c r="I7" s="1">
        <v>49.15</v>
      </c>
      <c r="J7" s="1">
        <v>1476</v>
      </c>
      <c r="K7" s="1">
        <v>410</v>
      </c>
      <c r="L7" s="46">
        <f t="shared" si="1"/>
        <v>0.2777212614445575</v>
      </c>
      <c r="M7" s="18">
        <v>30.03</v>
      </c>
    </row>
    <row r="8" spans="1:13" ht="31.5" x14ac:dyDescent="0.25">
      <c r="A8" s="14" t="s">
        <v>5</v>
      </c>
      <c r="B8" s="4">
        <v>23.27</v>
      </c>
      <c r="C8" s="2">
        <v>56.24</v>
      </c>
      <c r="D8" s="2">
        <v>1689</v>
      </c>
      <c r="E8" s="2">
        <v>699</v>
      </c>
      <c r="F8" s="46">
        <f t="shared" si="0"/>
        <v>0.41376244665718348</v>
      </c>
      <c r="G8" s="19">
        <v>30.03</v>
      </c>
      <c r="H8" s="4">
        <v>12.86</v>
      </c>
      <c r="I8" s="2">
        <v>50</v>
      </c>
      <c r="J8" s="2">
        <v>1501</v>
      </c>
      <c r="K8" s="2">
        <v>386</v>
      </c>
      <c r="L8" s="46">
        <f t="shared" si="1"/>
        <v>0.25719999999999998</v>
      </c>
      <c r="M8" s="19">
        <v>30.02</v>
      </c>
    </row>
    <row r="9" spans="1:13" ht="31.5" x14ac:dyDescent="0.25">
      <c r="A9" s="13" t="s">
        <v>6</v>
      </c>
      <c r="B9" s="3">
        <v>23.06</v>
      </c>
      <c r="C9" s="1">
        <v>55.14</v>
      </c>
      <c r="D9" s="1">
        <v>1655</v>
      </c>
      <c r="E9" s="1">
        <v>692</v>
      </c>
      <c r="F9" s="46">
        <f t="shared" si="0"/>
        <v>0.41820819731592307</v>
      </c>
      <c r="G9" s="18">
        <v>30.01</v>
      </c>
      <c r="H9" s="3">
        <v>13.02</v>
      </c>
      <c r="I9" s="1">
        <v>49.93</v>
      </c>
      <c r="J9" s="1">
        <v>1499</v>
      </c>
      <c r="K9" s="1">
        <v>391</v>
      </c>
      <c r="L9" s="46">
        <f t="shared" si="1"/>
        <v>0.26076507109953934</v>
      </c>
      <c r="M9" s="18">
        <v>30.02</v>
      </c>
    </row>
    <row r="10" spans="1:13" x14ac:dyDescent="0.25">
      <c r="A10" s="39"/>
      <c r="B10" s="27"/>
      <c r="C10" s="28"/>
      <c r="D10" s="28"/>
      <c r="E10" s="28"/>
      <c r="F10" s="28"/>
      <c r="G10" s="29"/>
      <c r="H10" s="27"/>
      <c r="I10" s="28"/>
      <c r="J10" s="28"/>
      <c r="K10" s="28"/>
      <c r="L10" s="28"/>
      <c r="M10" s="29"/>
    </row>
    <row r="11" spans="1:13" x14ac:dyDescent="0.25">
      <c r="A11" s="40"/>
      <c r="B11" s="30" t="s">
        <v>14</v>
      </c>
      <c r="C11" s="31"/>
      <c r="D11" s="31"/>
      <c r="E11" s="31"/>
      <c r="F11" s="62"/>
      <c r="G11" s="32"/>
      <c r="H11" s="30" t="s">
        <v>14</v>
      </c>
      <c r="I11" s="31"/>
      <c r="J11" s="31"/>
      <c r="K11" s="31"/>
      <c r="L11" s="62"/>
      <c r="M11" s="32"/>
    </row>
    <row r="12" spans="1:13" x14ac:dyDescent="0.25">
      <c r="A12" s="41"/>
      <c r="B12" s="12" t="s">
        <v>1</v>
      </c>
      <c r="C12" s="11" t="s">
        <v>2</v>
      </c>
      <c r="D12" s="11" t="s">
        <v>8</v>
      </c>
      <c r="E12" s="11" t="s">
        <v>9</v>
      </c>
      <c r="F12" s="63"/>
      <c r="G12" s="20" t="s">
        <v>10</v>
      </c>
      <c r="H12" s="12" t="s">
        <v>1</v>
      </c>
      <c r="I12" s="11" t="s">
        <v>2</v>
      </c>
      <c r="J12" s="11" t="s">
        <v>8</v>
      </c>
      <c r="K12" s="11" t="s">
        <v>9</v>
      </c>
      <c r="L12" s="63"/>
      <c r="M12" s="20" t="s">
        <v>10</v>
      </c>
    </row>
    <row r="13" spans="1:13" x14ac:dyDescent="0.25">
      <c r="A13" s="15" t="s">
        <v>0</v>
      </c>
      <c r="B13" s="6"/>
      <c r="C13" s="5"/>
      <c r="D13" s="5"/>
      <c r="E13" s="5"/>
      <c r="F13" s="64"/>
      <c r="G13" s="21"/>
      <c r="H13" s="6"/>
      <c r="I13" s="5"/>
      <c r="J13" s="5"/>
      <c r="K13" s="5"/>
      <c r="L13" s="64"/>
      <c r="M13" s="21"/>
    </row>
    <row r="14" spans="1:13" ht="31.5" x14ac:dyDescent="0.25">
      <c r="A14" s="16" t="s">
        <v>3</v>
      </c>
      <c r="B14" s="8"/>
      <c r="C14" s="7"/>
      <c r="D14" s="7"/>
      <c r="E14" s="7"/>
      <c r="F14" s="65"/>
      <c r="G14" s="22"/>
      <c r="H14" s="8"/>
      <c r="I14" s="7"/>
      <c r="J14" s="7"/>
      <c r="K14" s="7"/>
      <c r="L14" s="65"/>
      <c r="M14" s="22"/>
    </row>
    <row r="15" spans="1:13" ht="31.5" x14ac:dyDescent="0.25">
      <c r="A15" s="15" t="s">
        <v>4</v>
      </c>
      <c r="B15" s="6"/>
      <c r="C15" s="5"/>
      <c r="D15" s="5"/>
      <c r="E15" s="5"/>
      <c r="F15" s="64"/>
      <c r="G15" s="21"/>
      <c r="H15" s="6"/>
      <c r="I15" s="5"/>
      <c r="J15" s="5"/>
      <c r="K15" s="5"/>
      <c r="L15" s="64"/>
      <c r="M15" s="21"/>
    </row>
    <row r="16" spans="1:13" ht="31.5" x14ac:dyDescent="0.25">
      <c r="A16" s="16" t="s">
        <v>5</v>
      </c>
      <c r="B16" s="8"/>
      <c r="C16" s="7"/>
      <c r="D16" s="7"/>
      <c r="E16" s="7"/>
      <c r="F16" s="65"/>
      <c r="G16" s="22"/>
      <c r="H16" s="8"/>
      <c r="I16" s="7"/>
      <c r="J16" s="7"/>
      <c r="K16" s="7"/>
      <c r="L16" s="65"/>
      <c r="M16" s="22"/>
    </row>
    <row r="17" spans="1:13" ht="31.5" x14ac:dyDescent="0.25">
      <c r="A17" s="15" t="s">
        <v>6</v>
      </c>
      <c r="B17" s="6"/>
      <c r="C17" s="5"/>
      <c r="D17" s="5"/>
      <c r="E17" s="5"/>
      <c r="F17" s="64"/>
      <c r="G17" s="21"/>
      <c r="H17" s="6"/>
      <c r="I17" s="5"/>
      <c r="J17" s="5"/>
      <c r="K17" s="5"/>
      <c r="L17" s="64"/>
      <c r="M17" s="21"/>
    </row>
    <row r="18" spans="1:13" x14ac:dyDescent="0.25">
      <c r="A18" s="39"/>
      <c r="B18" s="27"/>
      <c r="C18" s="28"/>
      <c r="D18" s="28"/>
      <c r="E18" s="28"/>
      <c r="F18" s="28"/>
      <c r="G18" s="29"/>
      <c r="H18" s="27"/>
      <c r="I18" s="28"/>
      <c r="J18" s="28"/>
      <c r="K18" s="28"/>
      <c r="L18" s="28"/>
      <c r="M18" s="29"/>
    </row>
    <row r="19" spans="1:13" x14ac:dyDescent="0.25">
      <c r="A19" s="40"/>
      <c r="B19" s="33" t="s">
        <v>11</v>
      </c>
      <c r="C19" s="34"/>
      <c r="D19" s="34"/>
      <c r="E19" s="34"/>
      <c r="F19" s="60"/>
      <c r="G19" s="35"/>
      <c r="H19" s="33" t="s">
        <v>11</v>
      </c>
      <c r="I19" s="34"/>
      <c r="J19" s="34"/>
      <c r="K19" s="34"/>
      <c r="L19" s="60"/>
      <c r="M19" s="35"/>
    </row>
    <row r="20" spans="1:13" x14ac:dyDescent="0.25">
      <c r="A20" s="41"/>
      <c r="B20" s="10" t="s">
        <v>1</v>
      </c>
      <c r="C20" s="9" t="s">
        <v>2</v>
      </c>
      <c r="D20" s="9" t="s">
        <v>8</v>
      </c>
      <c r="E20" s="9" t="s">
        <v>9</v>
      </c>
      <c r="F20" s="61" t="s">
        <v>25</v>
      </c>
      <c r="G20" s="17" t="s">
        <v>10</v>
      </c>
      <c r="H20" s="10" t="s">
        <v>1</v>
      </c>
      <c r="I20" s="9" t="s">
        <v>2</v>
      </c>
      <c r="J20" s="9" t="s">
        <v>8</v>
      </c>
      <c r="K20" s="9" t="s">
        <v>9</v>
      </c>
      <c r="L20" s="61" t="s">
        <v>25</v>
      </c>
      <c r="M20" s="17" t="s">
        <v>10</v>
      </c>
    </row>
    <row r="21" spans="1:13" x14ac:dyDescent="0.25">
      <c r="A21" s="13" t="s">
        <v>0</v>
      </c>
      <c r="B21" s="3">
        <v>32.54</v>
      </c>
      <c r="C21" s="1">
        <v>37.86</v>
      </c>
      <c r="D21" s="1">
        <v>1138</v>
      </c>
      <c r="E21" s="1">
        <v>978</v>
      </c>
      <c r="F21" s="46">
        <f>B21/C21</f>
        <v>0.85948230322239827</v>
      </c>
      <c r="G21" s="18">
        <v>30.06</v>
      </c>
      <c r="H21" s="3">
        <v>16.16</v>
      </c>
      <c r="I21" s="1">
        <v>25.04</v>
      </c>
      <c r="J21" s="1">
        <v>753</v>
      </c>
      <c r="K21" s="1">
        <v>486</v>
      </c>
      <c r="L21" s="46">
        <f>H21/I21</f>
        <v>0.64536741214057514</v>
      </c>
      <c r="M21" s="18">
        <v>30.07</v>
      </c>
    </row>
    <row r="22" spans="1:13" ht="31.5" x14ac:dyDescent="0.25">
      <c r="A22" s="14" t="s">
        <v>3</v>
      </c>
      <c r="B22" s="4">
        <v>20.83</v>
      </c>
      <c r="C22" s="2">
        <v>59.85</v>
      </c>
      <c r="D22" s="2">
        <v>1796</v>
      </c>
      <c r="E22" s="2">
        <v>625</v>
      </c>
      <c r="F22" s="46">
        <f t="shared" ref="F22:F25" si="2">B22/C22</f>
        <v>0.34803675856307431</v>
      </c>
      <c r="G22" s="19">
        <v>30.01</v>
      </c>
      <c r="H22" s="4">
        <v>25.32</v>
      </c>
      <c r="I22" s="2">
        <v>47.45</v>
      </c>
      <c r="J22" s="2">
        <v>1435</v>
      </c>
      <c r="K22" s="2">
        <v>761</v>
      </c>
      <c r="L22" s="46">
        <f t="shared" ref="L22:L25" si="3">H22/I22</f>
        <v>0.53361433087460486</v>
      </c>
      <c r="M22" s="19">
        <v>30.05</v>
      </c>
    </row>
    <row r="23" spans="1:13" ht="31.5" x14ac:dyDescent="0.25">
      <c r="A23" s="13" t="s">
        <v>4</v>
      </c>
      <c r="B23" s="3">
        <v>21.66</v>
      </c>
      <c r="C23" s="1">
        <v>58.48</v>
      </c>
      <c r="D23" s="1">
        <v>1755</v>
      </c>
      <c r="E23" s="1">
        <v>650</v>
      </c>
      <c r="F23" s="46">
        <f t="shared" si="2"/>
        <v>0.37038303693570451</v>
      </c>
      <c r="G23" s="18">
        <v>30.01</v>
      </c>
      <c r="H23" s="3">
        <v>16.39</v>
      </c>
      <c r="I23" s="1">
        <v>52.2</v>
      </c>
      <c r="J23" s="1">
        <v>1567</v>
      </c>
      <c r="K23" s="1">
        <v>492</v>
      </c>
      <c r="L23" s="46">
        <f t="shared" si="3"/>
        <v>0.31398467432950189</v>
      </c>
      <c r="M23" s="18">
        <v>30.02</v>
      </c>
    </row>
    <row r="24" spans="1:13" ht="31.5" x14ac:dyDescent="0.25">
      <c r="A24" s="14" t="s">
        <v>5</v>
      </c>
      <c r="B24" s="4">
        <v>24.48</v>
      </c>
      <c r="C24" s="2">
        <v>59.85</v>
      </c>
      <c r="D24" s="2">
        <v>1797</v>
      </c>
      <c r="E24" s="2">
        <v>735</v>
      </c>
      <c r="F24" s="46">
        <f t="shared" si="2"/>
        <v>0.40902255639097745</v>
      </c>
      <c r="G24" s="19">
        <v>30.02</v>
      </c>
      <c r="H24" s="4">
        <v>30.47</v>
      </c>
      <c r="I24" s="2">
        <v>52.02</v>
      </c>
      <c r="J24" s="2">
        <v>1562</v>
      </c>
      <c r="K24" s="2">
        <v>915</v>
      </c>
      <c r="L24" s="46">
        <f t="shared" si="3"/>
        <v>0.58573625528642825</v>
      </c>
      <c r="M24" s="19">
        <v>30.03</v>
      </c>
    </row>
    <row r="25" spans="1:13" ht="31.5" x14ac:dyDescent="0.25">
      <c r="A25" s="13" t="s">
        <v>6</v>
      </c>
      <c r="B25" s="3">
        <v>27.09</v>
      </c>
      <c r="C25" s="1">
        <v>59.9</v>
      </c>
      <c r="D25" s="1">
        <v>1798</v>
      </c>
      <c r="E25" s="1">
        <v>813</v>
      </c>
      <c r="F25" s="46">
        <f t="shared" si="2"/>
        <v>0.45225375626043407</v>
      </c>
      <c r="G25" s="18">
        <v>30.02</v>
      </c>
      <c r="H25" s="3">
        <v>18.75</v>
      </c>
      <c r="I25" s="1">
        <v>54.35</v>
      </c>
      <c r="J25" s="1">
        <v>1632</v>
      </c>
      <c r="K25" s="1">
        <v>563</v>
      </c>
      <c r="L25" s="46">
        <f t="shared" si="3"/>
        <v>0.34498620055197793</v>
      </c>
      <c r="M25" s="18">
        <v>30.03</v>
      </c>
    </row>
  </sheetData>
  <mergeCells count="17">
    <mergeCell ref="A18:A20"/>
    <mergeCell ref="B18:G18"/>
    <mergeCell ref="H18:M18"/>
    <mergeCell ref="B19:G19"/>
    <mergeCell ref="H19:M19"/>
    <mergeCell ref="A10:A12"/>
    <mergeCell ref="B10:G10"/>
    <mergeCell ref="H10:M10"/>
    <mergeCell ref="B11:G11"/>
    <mergeCell ref="H11:M11"/>
    <mergeCell ref="B1:G1"/>
    <mergeCell ref="H1:M1"/>
    <mergeCell ref="A2:A4"/>
    <mergeCell ref="B2:G2"/>
    <mergeCell ref="H2:M2"/>
    <mergeCell ref="B3:G3"/>
    <mergeCell ref="H3: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3D0C4-53DE-B84D-B1A9-0519AEBACCF7}">
  <dimension ref="A1:M25"/>
  <sheetViews>
    <sheetView workbookViewId="0">
      <selection activeCell="K23" sqref="K23"/>
    </sheetView>
  </sheetViews>
  <sheetFormatPr defaultColWidth="11" defaultRowHeight="15.75" x14ac:dyDescent="0.25"/>
  <cols>
    <col min="1" max="1" width="17.5" customWidth="1"/>
  </cols>
  <sheetData>
    <row r="1" spans="1:13" ht="30.95" customHeight="1" x14ac:dyDescent="0.25">
      <c r="A1" s="23"/>
      <c r="B1" s="24" t="s">
        <v>12</v>
      </c>
      <c r="C1" s="25"/>
      <c r="D1" s="25"/>
      <c r="E1" s="25"/>
      <c r="F1" s="25"/>
      <c r="G1" s="26"/>
      <c r="H1" s="36" t="s">
        <v>13</v>
      </c>
      <c r="I1" s="37"/>
      <c r="J1" s="37"/>
      <c r="K1" s="37"/>
      <c r="L1" s="37"/>
      <c r="M1" s="38"/>
    </row>
    <row r="2" spans="1:13" x14ac:dyDescent="0.25">
      <c r="A2" s="41"/>
      <c r="B2" s="27"/>
      <c r="C2" s="28"/>
      <c r="D2" s="28"/>
      <c r="E2" s="28"/>
      <c r="F2" s="28"/>
      <c r="G2" s="29"/>
      <c r="H2" s="27"/>
      <c r="I2" s="28"/>
      <c r="J2" s="28"/>
      <c r="K2" s="28"/>
      <c r="L2" s="28"/>
      <c r="M2" s="29"/>
    </row>
    <row r="3" spans="1:13" x14ac:dyDescent="0.25">
      <c r="A3" s="42"/>
      <c r="B3" s="33" t="s">
        <v>7</v>
      </c>
      <c r="C3" s="34"/>
      <c r="D3" s="34"/>
      <c r="E3" s="34"/>
      <c r="F3" s="60"/>
      <c r="G3" s="35"/>
      <c r="H3" s="33" t="s">
        <v>7</v>
      </c>
      <c r="I3" s="34"/>
      <c r="J3" s="34"/>
      <c r="K3" s="34"/>
      <c r="L3" s="60"/>
      <c r="M3" s="35"/>
    </row>
    <row r="4" spans="1:13" x14ac:dyDescent="0.25">
      <c r="A4" s="42"/>
      <c r="B4" s="10" t="s">
        <v>1</v>
      </c>
      <c r="C4" s="9" t="s">
        <v>2</v>
      </c>
      <c r="D4" s="9" t="s">
        <v>8</v>
      </c>
      <c r="E4" s="9" t="s">
        <v>9</v>
      </c>
      <c r="F4" s="61" t="s">
        <v>25</v>
      </c>
      <c r="G4" s="17" t="s">
        <v>10</v>
      </c>
      <c r="H4" s="10" t="s">
        <v>1</v>
      </c>
      <c r="I4" s="9" t="s">
        <v>2</v>
      </c>
      <c r="J4" s="9" t="s">
        <v>8</v>
      </c>
      <c r="K4" s="9" t="s">
        <v>9</v>
      </c>
      <c r="L4" s="61" t="s">
        <v>25</v>
      </c>
      <c r="M4" s="17" t="s">
        <v>10</v>
      </c>
    </row>
    <row r="5" spans="1:13" x14ac:dyDescent="0.25">
      <c r="A5" s="13" t="s">
        <v>0</v>
      </c>
      <c r="B5" s="3">
        <v>27.61</v>
      </c>
      <c r="C5" s="1">
        <v>33.9</v>
      </c>
      <c r="D5" s="1">
        <v>1019</v>
      </c>
      <c r="E5" s="1">
        <v>830</v>
      </c>
      <c r="F5" s="46">
        <f>B5/C5</f>
        <v>0.81445427728613573</v>
      </c>
      <c r="G5" s="18">
        <v>30.06</v>
      </c>
      <c r="H5" s="3">
        <v>13.21</v>
      </c>
      <c r="I5" s="1">
        <v>24.92</v>
      </c>
      <c r="J5" s="1">
        <v>749</v>
      </c>
      <c r="K5" s="1">
        <v>397</v>
      </c>
      <c r="L5" s="46">
        <f>H5/I5</f>
        <v>0.5300963081861958</v>
      </c>
      <c r="M5" s="18">
        <v>30.06</v>
      </c>
    </row>
    <row r="6" spans="1:13" ht="31.5" x14ac:dyDescent="0.25">
      <c r="A6" s="14" t="s">
        <v>3</v>
      </c>
      <c r="B6" s="4">
        <v>16.09</v>
      </c>
      <c r="C6" s="2">
        <v>59.76</v>
      </c>
      <c r="D6" s="2">
        <v>1794</v>
      </c>
      <c r="E6" s="2">
        <v>43</v>
      </c>
      <c r="F6" s="46">
        <f t="shared" ref="F6:F9" si="0">B6/C6</f>
        <v>0.26924364123159306</v>
      </c>
      <c r="G6" s="19">
        <v>30.02</v>
      </c>
      <c r="H6" s="4">
        <v>0.1</v>
      </c>
      <c r="I6" s="2">
        <v>45.34</v>
      </c>
      <c r="J6" s="2">
        <v>1362</v>
      </c>
      <c r="K6" s="2">
        <v>3</v>
      </c>
      <c r="L6" s="46">
        <f t="shared" ref="L6:L9" si="1">H6/I6</f>
        <v>2.2055580061755625E-3</v>
      </c>
      <c r="M6" s="19">
        <v>30.04</v>
      </c>
    </row>
    <row r="7" spans="1:13" ht="31.5" x14ac:dyDescent="0.25">
      <c r="A7" s="13" t="s">
        <v>4</v>
      </c>
      <c r="B7" s="3">
        <v>18.329999999999998</v>
      </c>
      <c r="C7" s="1">
        <v>59.81</v>
      </c>
      <c r="D7" s="1">
        <v>1795</v>
      </c>
      <c r="E7" s="1">
        <v>550</v>
      </c>
      <c r="F7" s="46">
        <f t="shared" si="0"/>
        <v>0.30647048988463466</v>
      </c>
      <c r="G7" s="18">
        <v>30.01</v>
      </c>
      <c r="H7" s="3">
        <v>18.350000000000001</v>
      </c>
      <c r="I7" s="1">
        <v>44.82</v>
      </c>
      <c r="J7" s="1">
        <v>1346</v>
      </c>
      <c r="K7" s="1">
        <v>551</v>
      </c>
      <c r="L7" s="46">
        <f t="shared" si="1"/>
        <v>0.40941543953592147</v>
      </c>
      <c r="M7" s="18">
        <v>30.03</v>
      </c>
    </row>
    <row r="8" spans="1:13" ht="31.5" x14ac:dyDescent="0.25">
      <c r="A8" s="14" t="s">
        <v>5</v>
      </c>
      <c r="B8" s="4">
        <v>14.03</v>
      </c>
      <c r="C8" s="2">
        <v>59.81</v>
      </c>
      <c r="D8" s="2">
        <v>1795</v>
      </c>
      <c r="E8" s="2">
        <v>421</v>
      </c>
      <c r="F8" s="46">
        <f t="shared" si="0"/>
        <v>0.23457615783313826</v>
      </c>
      <c r="G8" s="19">
        <v>30.01</v>
      </c>
      <c r="H8" s="4">
        <v>14.39</v>
      </c>
      <c r="I8" s="2">
        <v>42.17</v>
      </c>
      <c r="J8" s="2">
        <v>1266</v>
      </c>
      <c r="K8" s="2">
        <v>432</v>
      </c>
      <c r="L8" s="46">
        <f t="shared" si="1"/>
        <v>0.34123784681052882</v>
      </c>
      <c r="M8" s="19">
        <v>30.02</v>
      </c>
    </row>
    <row r="9" spans="1:13" ht="31.5" x14ac:dyDescent="0.25">
      <c r="A9" s="13" t="s">
        <v>6</v>
      </c>
      <c r="B9" s="3">
        <v>21.19</v>
      </c>
      <c r="C9" s="1">
        <v>59.84</v>
      </c>
      <c r="D9" s="1">
        <v>1796</v>
      </c>
      <c r="E9" s="1">
        <v>636</v>
      </c>
      <c r="F9" s="46">
        <f t="shared" si="0"/>
        <v>0.35411096256684493</v>
      </c>
      <c r="G9" s="18">
        <v>30.01</v>
      </c>
      <c r="H9" s="3">
        <v>17.02</v>
      </c>
      <c r="I9" s="1">
        <v>48.99</v>
      </c>
      <c r="J9" s="1">
        <v>1471</v>
      </c>
      <c r="K9" s="1">
        <v>511</v>
      </c>
      <c r="L9" s="46">
        <f t="shared" si="1"/>
        <v>0.34741784037558682</v>
      </c>
      <c r="M9" s="18">
        <v>30.03</v>
      </c>
    </row>
    <row r="10" spans="1:13" x14ac:dyDescent="0.25">
      <c r="A10" s="39"/>
      <c r="B10" s="27"/>
      <c r="C10" s="28"/>
      <c r="D10" s="28"/>
      <c r="E10" s="28"/>
      <c r="F10" s="28"/>
      <c r="G10" s="29"/>
      <c r="H10" s="27"/>
      <c r="I10" s="28"/>
      <c r="J10" s="28"/>
      <c r="K10" s="28"/>
      <c r="L10" s="28"/>
      <c r="M10" s="29"/>
    </row>
    <row r="11" spans="1:13" x14ac:dyDescent="0.25">
      <c r="A11" s="40"/>
      <c r="B11" s="30" t="s">
        <v>14</v>
      </c>
      <c r="C11" s="31"/>
      <c r="D11" s="31"/>
      <c r="E11" s="31"/>
      <c r="F11" s="62"/>
      <c r="G11" s="32"/>
      <c r="H11" s="30" t="s">
        <v>14</v>
      </c>
      <c r="I11" s="31"/>
      <c r="J11" s="31"/>
      <c r="K11" s="31"/>
      <c r="L11" s="62"/>
      <c r="M11" s="32"/>
    </row>
    <row r="12" spans="1:13" x14ac:dyDescent="0.25">
      <c r="A12" s="41"/>
      <c r="B12" s="12" t="s">
        <v>1</v>
      </c>
      <c r="C12" s="11" t="s">
        <v>2</v>
      </c>
      <c r="D12" s="11" t="s">
        <v>8</v>
      </c>
      <c r="E12" s="11" t="s">
        <v>9</v>
      </c>
      <c r="F12" s="63"/>
      <c r="G12" s="20" t="s">
        <v>10</v>
      </c>
      <c r="H12" s="12" t="s">
        <v>1</v>
      </c>
      <c r="I12" s="11" t="s">
        <v>2</v>
      </c>
      <c r="J12" s="11" t="s">
        <v>8</v>
      </c>
      <c r="K12" s="11" t="s">
        <v>9</v>
      </c>
      <c r="L12" s="63"/>
      <c r="M12" s="20" t="s">
        <v>10</v>
      </c>
    </row>
    <row r="13" spans="1:13" x14ac:dyDescent="0.25">
      <c r="A13" s="15" t="s">
        <v>0</v>
      </c>
      <c r="B13" s="6"/>
      <c r="C13" s="5"/>
      <c r="D13" s="5"/>
      <c r="E13" s="5"/>
      <c r="F13" s="64"/>
      <c r="G13" s="21"/>
      <c r="H13" s="6"/>
      <c r="I13" s="5"/>
      <c r="J13" s="5"/>
      <c r="K13" s="5"/>
      <c r="L13" s="64"/>
      <c r="M13" s="21"/>
    </row>
    <row r="14" spans="1:13" ht="31.5" x14ac:dyDescent="0.25">
      <c r="A14" s="16" t="s">
        <v>3</v>
      </c>
      <c r="B14" s="8"/>
      <c r="C14" s="7"/>
      <c r="D14" s="7"/>
      <c r="E14" s="7"/>
      <c r="F14" s="65"/>
      <c r="G14" s="22"/>
      <c r="H14" s="8"/>
      <c r="I14" s="7"/>
      <c r="J14" s="7"/>
      <c r="K14" s="7"/>
      <c r="L14" s="65"/>
      <c r="M14" s="22"/>
    </row>
    <row r="15" spans="1:13" ht="31.5" x14ac:dyDescent="0.25">
      <c r="A15" s="15" t="s">
        <v>4</v>
      </c>
      <c r="B15" s="6"/>
      <c r="C15" s="5"/>
      <c r="D15" s="5"/>
      <c r="E15" s="5"/>
      <c r="F15" s="64"/>
      <c r="G15" s="21"/>
      <c r="H15" s="6"/>
      <c r="I15" s="5"/>
      <c r="J15" s="5"/>
      <c r="K15" s="5"/>
      <c r="L15" s="64"/>
      <c r="M15" s="21"/>
    </row>
    <row r="16" spans="1:13" ht="31.5" x14ac:dyDescent="0.25">
      <c r="A16" s="16" t="s">
        <v>5</v>
      </c>
      <c r="B16" s="8"/>
      <c r="C16" s="7"/>
      <c r="D16" s="7"/>
      <c r="E16" s="7"/>
      <c r="F16" s="65"/>
      <c r="G16" s="22"/>
      <c r="H16" s="8"/>
      <c r="I16" s="7"/>
      <c r="J16" s="7"/>
      <c r="K16" s="7"/>
      <c r="L16" s="65"/>
      <c r="M16" s="22"/>
    </row>
    <row r="17" spans="1:13" ht="31.5" x14ac:dyDescent="0.25">
      <c r="A17" s="15" t="s">
        <v>6</v>
      </c>
      <c r="B17" s="6"/>
      <c r="C17" s="5"/>
      <c r="D17" s="5"/>
      <c r="E17" s="5"/>
      <c r="F17" s="64"/>
      <c r="G17" s="21"/>
      <c r="H17" s="6"/>
      <c r="I17" s="5"/>
      <c r="J17" s="5"/>
      <c r="K17" s="5"/>
      <c r="L17" s="64"/>
      <c r="M17" s="21"/>
    </row>
    <row r="18" spans="1:13" x14ac:dyDescent="0.25">
      <c r="A18" s="39"/>
      <c r="B18" s="27"/>
      <c r="C18" s="28"/>
      <c r="D18" s="28"/>
      <c r="E18" s="28"/>
      <c r="F18" s="28"/>
      <c r="G18" s="29"/>
      <c r="H18" s="27"/>
      <c r="I18" s="28"/>
      <c r="J18" s="28"/>
      <c r="K18" s="28"/>
      <c r="L18" s="28"/>
      <c r="M18" s="29"/>
    </row>
    <row r="19" spans="1:13" x14ac:dyDescent="0.25">
      <c r="A19" s="40"/>
      <c r="B19" s="33" t="s">
        <v>11</v>
      </c>
      <c r="C19" s="34"/>
      <c r="D19" s="34"/>
      <c r="E19" s="34"/>
      <c r="F19" s="60"/>
      <c r="G19" s="35"/>
      <c r="H19" s="33" t="s">
        <v>11</v>
      </c>
      <c r="I19" s="34"/>
      <c r="J19" s="34"/>
      <c r="K19" s="34"/>
      <c r="L19" s="60"/>
      <c r="M19" s="35"/>
    </row>
    <row r="20" spans="1:13" x14ac:dyDescent="0.25">
      <c r="A20" s="41"/>
      <c r="B20" s="10" t="s">
        <v>1</v>
      </c>
      <c r="C20" s="9" t="s">
        <v>2</v>
      </c>
      <c r="D20" s="9" t="s">
        <v>8</v>
      </c>
      <c r="E20" s="9" t="s">
        <v>9</v>
      </c>
      <c r="F20" s="61" t="s">
        <v>25</v>
      </c>
      <c r="G20" s="17" t="s">
        <v>10</v>
      </c>
      <c r="H20" s="10" t="s">
        <v>1</v>
      </c>
      <c r="I20" s="9" t="s">
        <v>2</v>
      </c>
      <c r="J20" s="9" t="s">
        <v>8</v>
      </c>
      <c r="K20" s="9" t="s">
        <v>9</v>
      </c>
      <c r="L20" s="61" t="s">
        <v>25</v>
      </c>
      <c r="M20" s="17" t="s">
        <v>10</v>
      </c>
    </row>
    <row r="21" spans="1:13" x14ac:dyDescent="0.25">
      <c r="A21" s="13" t="s">
        <v>0</v>
      </c>
      <c r="B21" s="3">
        <v>32.83</v>
      </c>
      <c r="C21" s="1">
        <v>38.42</v>
      </c>
      <c r="D21" s="1">
        <v>1154</v>
      </c>
      <c r="E21" s="1">
        <v>986</v>
      </c>
      <c r="F21" s="46">
        <f>B21/C21</f>
        <v>0.85450286309213941</v>
      </c>
      <c r="G21" s="18">
        <v>30.04</v>
      </c>
      <c r="H21" s="3">
        <v>13.84</v>
      </c>
      <c r="I21" s="1">
        <v>24.79</v>
      </c>
      <c r="J21" s="1">
        <v>745</v>
      </c>
      <c r="K21" s="1">
        <v>416</v>
      </c>
      <c r="L21" s="46">
        <f>H21/I21</f>
        <v>0.55828963291649858</v>
      </c>
      <c r="M21" s="18">
        <v>30.06</v>
      </c>
    </row>
    <row r="22" spans="1:13" ht="31.5" x14ac:dyDescent="0.25">
      <c r="A22" s="14" t="s">
        <v>3</v>
      </c>
      <c r="B22" s="4">
        <v>7.79</v>
      </c>
      <c r="C22" s="2">
        <v>59.86</v>
      </c>
      <c r="D22" s="2">
        <v>234</v>
      </c>
      <c r="E22" s="2">
        <v>1797</v>
      </c>
      <c r="F22" s="46">
        <f t="shared" ref="F22:F25" si="2">B22/C22</f>
        <v>0.13013698630136986</v>
      </c>
      <c r="G22" s="19">
        <v>30.02</v>
      </c>
      <c r="H22" s="4">
        <v>9.02</v>
      </c>
      <c r="I22" s="2">
        <v>51.75</v>
      </c>
      <c r="J22" s="2">
        <v>1555</v>
      </c>
      <c r="K22" s="2">
        <v>271</v>
      </c>
      <c r="L22" s="46">
        <f t="shared" ref="L22:L25" si="3">H22/I22</f>
        <v>0.17429951690821255</v>
      </c>
      <c r="M22" s="19">
        <v>30.05</v>
      </c>
    </row>
    <row r="23" spans="1:13" ht="31.5" x14ac:dyDescent="0.25">
      <c r="A23" s="13" t="s">
        <v>4</v>
      </c>
      <c r="B23" s="3">
        <v>21.06</v>
      </c>
      <c r="C23" s="1">
        <v>59.87</v>
      </c>
      <c r="D23" s="1">
        <v>1797</v>
      </c>
      <c r="E23" s="1">
        <v>632</v>
      </c>
      <c r="F23" s="46">
        <f t="shared" si="2"/>
        <v>0.35176215132787708</v>
      </c>
      <c r="G23" s="18">
        <v>30.02</v>
      </c>
      <c r="H23" s="3">
        <v>13.49</v>
      </c>
      <c r="I23" s="1">
        <v>52.5</v>
      </c>
      <c r="J23" s="1">
        <v>1576</v>
      </c>
      <c r="K23" s="1">
        <v>405</v>
      </c>
      <c r="L23" s="46">
        <f t="shared" si="3"/>
        <v>0.25695238095238093</v>
      </c>
      <c r="M23" s="18">
        <v>30.02</v>
      </c>
    </row>
    <row r="24" spans="1:13" ht="31.5" x14ac:dyDescent="0.25">
      <c r="A24" s="14" t="s">
        <v>5</v>
      </c>
      <c r="B24" s="4">
        <v>23.39</v>
      </c>
      <c r="C24" s="2">
        <v>59.88</v>
      </c>
      <c r="D24" s="2">
        <v>1797</v>
      </c>
      <c r="E24" s="2">
        <v>702</v>
      </c>
      <c r="F24" s="46">
        <f t="shared" si="2"/>
        <v>0.39061456245824983</v>
      </c>
      <c r="G24" s="19">
        <v>30.01</v>
      </c>
      <c r="H24" s="4">
        <v>15.09</v>
      </c>
      <c r="I24" s="2">
        <v>53.63</v>
      </c>
      <c r="J24" s="2">
        <v>1610</v>
      </c>
      <c r="K24" s="2">
        <v>453</v>
      </c>
      <c r="L24" s="46">
        <f t="shared" si="3"/>
        <v>0.28137236621294048</v>
      </c>
      <c r="M24" s="19">
        <v>30.02</v>
      </c>
    </row>
    <row r="25" spans="1:13" ht="31.5" x14ac:dyDescent="0.25">
      <c r="A25" s="13" t="s">
        <v>6</v>
      </c>
      <c r="B25" s="3">
        <v>18.760000000000002</v>
      </c>
      <c r="C25" s="1">
        <v>55.58</v>
      </c>
      <c r="D25" s="1">
        <v>1668</v>
      </c>
      <c r="E25" s="1">
        <v>563</v>
      </c>
      <c r="F25" s="46">
        <f t="shared" si="2"/>
        <v>0.33753148614609574</v>
      </c>
      <c r="G25" s="18">
        <v>30.01</v>
      </c>
      <c r="H25" s="3">
        <v>18.41</v>
      </c>
      <c r="I25" s="1">
        <v>48.3</v>
      </c>
      <c r="J25" s="1">
        <v>1451</v>
      </c>
      <c r="K25" s="1">
        <v>553</v>
      </c>
      <c r="L25" s="46">
        <f t="shared" si="3"/>
        <v>0.38115942028985511</v>
      </c>
      <c r="M25" s="18">
        <v>30.04</v>
      </c>
    </row>
  </sheetData>
  <mergeCells count="17">
    <mergeCell ref="H18:M18"/>
    <mergeCell ref="H19:M19"/>
    <mergeCell ref="A10:A12"/>
    <mergeCell ref="A2:A4"/>
    <mergeCell ref="A18:A20"/>
    <mergeCell ref="B2:G2"/>
    <mergeCell ref="B19:G19"/>
    <mergeCell ref="B18:G18"/>
    <mergeCell ref="B1:G1"/>
    <mergeCell ref="H2:M2"/>
    <mergeCell ref="H10:M10"/>
    <mergeCell ref="B10:G10"/>
    <mergeCell ref="H11:M11"/>
    <mergeCell ref="H3:M3"/>
    <mergeCell ref="H1:M1"/>
    <mergeCell ref="B3:G3"/>
    <mergeCell ref="B11:G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22727-8349-C449-8C47-9161E5058FD4}">
  <dimension ref="A1:M25"/>
  <sheetViews>
    <sheetView workbookViewId="0">
      <selection activeCell="F21" sqref="F21:F25"/>
    </sheetView>
  </sheetViews>
  <sheetFormatPr defaultColWidth="11" defaultRowHeight="15.75" x14ac:dyDescent="0.25"/>
  <cols>
    <col min="1" max="1" width="17.5" customWidth="1"/>
  </cols>
  <sheetData>
    <row r="1" spans="1:13" ht="32.1" customHeight="1" x14ac:dyDescent="0.25">
      <c r="A1" s="23"/>
      <c r="B1" s="24" t="s">
        <v>12</v>
      </c>
      <c r="C1" s="25"/>
      <c r="D1" s="25"/>
      <c r="E1" s="25"/>
      <c r="F1" s="25"/>
      <c r="G1" s="26"/>
      <c r="H1" s="36" t="s">
        <v>13</v>
      </c>
      <c r="I1" s="37"/>
      <c r="J1" s="37"/>
      <c r="K1" s="37"/>
      <c r="L1" s="37"/>
      <c r="M1" s="38"/>
    </row>
    <row r="2" spans="1:13" x14ac:dyDescent="0.25">
      <c r="A2" s="41"/>
      <c r="B2" s="27"/>
      <c r="C2" s="28"/>
      <c r="D2" s="28"/>
      <c r="E2" s="28"/>
      <c r="F2" s="28"/>
      <c r="G2" s="29"/>
      <c r="H2" s="27"/>
      <c r="I2" s="28"/>
      <c r="J2" s="28"/>
      <c r="K2" s="28"/>
      <c r="L2" s="28"/>
      <c r="M2" s="29"/>
    </row>
    <row r="3" spans="1:13" x14ac:dyDescent="0.25">
      <c r="A3" s="42"/>
      <c r="B3" s="33" t="s">
        <v>7</v>
      </c>
      <c r="C3" s="34"/>
      <c r="D3" s="34"/>
      <c r="E3" s="34"/>
      <c r="F3" s="60"/>
      <c r="G3" s="35"/>
      <c r="H3" s="33" t="s">
        <v>7</v>
      </c>
      <c r="I3" s="34"/>
      <c r="J3" s="34"/>
      <c r="K3" s="34"/>
      <c r="L3" s="60"/>
      <c r="M3" s="35"/>
    </row>
    <row r="4" spans="1:13" x14ac:dyDescent="0.25">
      <c r="A4" s="42"/>
      <c r="B4" s="10" t="s">
        <v>1</v>
      </c>
      <c r="C4" s="9" t="s">
        <v>2</v>
      </c>
      <c r="D4" s="9" t="s">
        <v>8</v>
      </c>
      <c r="E4" s="9" t="s">
        <v>9</v>
      </c>
      <c r="F4" s="61" t="s">
        <v>25</v>
      </c>
      <c r="G4" s="17" t="s">
        <v>10</v>
      </c>
      <c r="H4" s="10" t="s">
        <v>1</v>
      </c>
      <c r="I4" s="9" t="s">
        <v>2</v>
      </c>
      <c r="J4" s="9" t="s">
        <v>8</v>
      </c>
      <c r="K4" s="9" t="s">
        <v>9</v>
      </c>
      <c r="L4" s="61" t="s">
        <v>25</v>
      </c>
      <c r="M4" s="17" t="s">
        <v>10</v>
      </c>
    </row>
    <row r="5" spans="1:13" x14ac:dyDescent="0.25">
      <c r="A5" s="13" t="s">
        <v>0</v>
      </c>
      <c r="B5" s="3">
        <v>31.81</v>
      </c>
      <c r="C5" s="1">
        <v>35.700000000000003</v>
      </c>
      <c r="D5" s="1">
        <v>1072</v>
      </c>
      <c r="E5" s="1">
        <v>955</v>
      </c>
      <c r="F5" s="46">
        <f>B5/C5</f>
        <v>0.89103641456582627</v>
      </c>
      <c r="G5" s="18">
        <v>30.03</v>
      </c>
      <c r="H5" s="3">
        <v>13.97</v>
      </c>
      <c r="I5" s="1">
        <v>25.08</v>
      </c>
      <c r="J5" s="1">
        <v>754</v>
      </c>
      <c r="K5" s="1">
        <v>420</v>
      </c>
      <c r="L5" s="46">
        <f>H5/I5</f>
        <v>0.55701754385964919</v>
      </c>
      <c r="M5" s="18">
        <v>30.06</v>
      </c>
    </row>
    <row r="6" spans="1:13" ht="31.5" x14ac:dyDescent="0.25">
      <c r="A6" s="14" t="s">
        <v>3</v>
      </c>
      <c r="B6" s="4">
        <v>7.63</v>
      </c>
      <c r="C6" s="2">
        <v>59.79</v>
      </c>
      <c r="D6" s="2">
        <v>1795</v>
      </c>
      <c r="E6" s="2">
        <v>229</v>
      </c>
      <c r="F6" s="46">
        <f t="shared" ref="F6:F9" si="0">B6/C6</f>
        <v>0.12761331326308747</v>
      </c>
      <c r="G6" s="19">
        <v>30.02</v>
      </c>
      <c r="H6" s="4">
        <v>4.53</v>
      </c>
      <c r="I6" s="2">
        <v>50.66</v>
      </c>
      <c r="J6" s="2">
        <v>1521</v>
      </c>
      <c r="K6" s="2">
        <v>136</v>
      </c>
      <c r="L6" s="46">
        <f t="shared" ref="L6:L9" si="1">H6/I6</f>
        <v>8.9419660481642335E-2</v>
      </c>
      <c r="M6" s="19">
        <v>30.02</v>
      </c>
    </row>
    <row r="7" spans="1:13" ht="31.5" x14ac:dyDescent="0.25">
      <c r="A7" s="13" t="s">
        <v>4</v>
      </c>
      <c r="B7" s="3">
        <v>25.09</v>
      </c>
      <c r="C7" s="1">
        <v>59.77</v>
      </c>
      <c r="D7" s="1">
        <v>1794</v>
      </c>
      <c r="E7" s="1">
        <v>753</v>
      </c>
      <c r="F7" s="46">
        <f t="shared" si="0"/>
        <v>0.41977580726116781</v>
      </c>
      <c r="G7" s="18">
        <v>30.01</v>
      </c>
      <c r="H7" s="3">
        <v>14.15</v>
      </c>
      <c r="I7" s="1">
        <v>50.89</v>
      </c>
      <c r="J7" s="1">
        <v>1528</v>
      </c>
      <c r="K7" s="1">
        <v>425</v>
      </c>
      <c r="L7" s="46">
        <f t="shared" si="1"/>
        <v>0.2780506975830222</v>
      </c>
      <c r="M7" s="18">
        <v>30.03</v>
      </c>
    </row>
    <row r="8" spans="1:13" ht="31.5" x14ac:dyDescent="0.25">
      <c r="A8" s="14" t="s">
        <v>5</v>
      </c>
      <c r="B8" s="4">
        <v>27.61</v>
      </c>
      <c r="C8" s="2">
        <v>57.13</v>
      </c>
      <c r="D8" s="2">
        <v>1715</v>
      </c>
      <c r="E8" s="2">
        <v>829</v>
      </c>
      <c r="F8" s="46">
        <f t="shared" si="0"/>
        <v>0.48328373884123926</v>
      </c>
      <c r="G8" s="19">
        <v>30.02</v>
      </c>
      <c r="H8" s="4">
        <v>14.69</v>
      </c>
      <c r="I8" s="2">
        <v>46.89</v>
      </c>
      <c r="J8" s="2">
        <v>1408</v>
      </c>
      <c r="K8" s="2">
        <v>441</v>
      </c>
      <c r="L8" s="46">
        <f t="shared" si="1"/>
        <v>0.31328641501386223</v>
      </c>
      <c r="M8" s="19">
        <v>30.03</v>
      </c>
    </row>
    <row r="9" spans="1:13" ht="31.5" x14ac:dyDescent="0.25">
      <c r="A9" s="13" t="s">
        <v>6</v>
      </c>
      <c r="B9" s="3">
        <v>24.62</v>
      </c>
      <c r="C9" s="1">
        <v>59.91</v>
      </c>
      <c r="D9" s="1">
        <v>1798</v>
      </c>
      <c r="E9" s="1">
        <v>739</v>
      </c>
      <c r="F9" s="46">
        <f t="shared" si="0"/>
        <v>0.41094975797028882</v>
      </c>
      <c r="G9" s="18">
        <v>30.01</v>
      </c>
      <c r="H9" s="3">
        <v>12.28</v>
      </c>
      <c r="I9" s="1">
        <v>43.01</v>
      </c>
      <c r="J9" s="1">
        <v>1292</v>
      </c>
      <c r="K9" s="1">
        <v>369</v>
      </c>
      <c r="L9" s="46">
        <f t="shared" si="1"/>
        <v>0.28551499651243895</v>
      </c>
      <c r="M9" s="18">
        <v>30.04</v>
      </c>
    </row>
    <row r="10" spans="1:13" x14ac:dyDescent="0.25">
      <c r="A10" s="39"/>
      <c r="B10" s="27"/>
      <c r="C10" s="28"/>
      <c r="D10" s="28"/>
      <c r="E10" s="28"/>
      <c r="F10" s="28"/>
      <c r="G10" s="29"/>
      <c r="H10" s="27"/>
      <c r="I10" s="28"/>
      <c r="J10" s="28"/>
      <c r="K10" s="28"/>
      <c r="L10" s="28"/>
      <c r="M10" s="29"/>
    </row>
    <row r="11" spans="1:13" x14ac:dyDescent="0.25">
      <c r="A11" s="40"/>
      <c r="B11" s="30" t="s">
        <v>14</v>
      </c>
      <c r="C11" s="31"/>
      <c r="D11" s="31"/>
      <c r="E11" s="31"/>
      <c r="F11" s="62"/>
      <c r="G11" s="32"/>
      <c r="H11" s="30" t="s">
        <v>14</v>
      </c>
      <c r="I11" s="31"/>
      <c r="J11" s="31"/>
      <c r="K11" s="31"/>
      <c r="L11" s="62"/>
      <c r="M11" s="32"/>
    </row>
    <row r="12" spans="1:13" x14ac:dyDescent="0.25">
      <c r="A12" s="41"/>
      <c r="B12" s="12" t="s">
        <v>1</v>
      </c>
      <c r="C12" s="11" t="s">
        <v>2</v>
      </c>
      <c r="D12" s="11" t="s">
        <v>8</v>
      </c>
      <c r="E12" s="11" t="s">
        <v>9</v>
      </c>
      <c r="F12" s="63"/>
      <c r="G12" s="20" t="s">
        <v>10</v>
      </c>
      <c r="H12" s="12" t="s">
        <v>1</v>
      </c>
      <c r="I12" s="11" t="s">
        <v>2</v>
      </c>
      <c r="J12" s="11" t="s">
        <v>8</v>
      </c>
      <c r="K12" s="11" t="s">
        <v>9</v>
      </c>
      <c r="L12" s="63"/>
      <c r="M12" s="20" t="s">
        <v>10</v>
      </c>
    </row>
    <row r="13" spans="1:13" x14ac:dyDescent="0.25">
      <c r="A13" s="15" t="s">
        <v>0</v>
      </c>
      <c r="B13" s="6"/>
      <c r="C13" s="5"/>
      <c r="D13" s="5"/>
      <c r="E13" s="5"/>
      <c r="F13" s="64"/>
      <c r="G13" s="21"/>
      <c r="H13" s="6"/>
      <c r="I13" s="5"/>
      <c r="J13" s="5"/>
      <c r="K13" s="5"/>
      <c r="L13" s="64"/>
      <c r="M13" s="21"/>
    </row>
    <row r="14" spans="1:13" ht="31.5" x14ac:dyDescent="0.25">
      <c r="A14" s="16" t="s">
        <v>3</v>
      </c>
      <c r="B14" s="8"/>
      <c r="C14" s="7"/>
      <c r="D14" s="7"/>
      <c r="E14" s="7"/>
      <c r="F14" s="65"/>
      <c r="G14" s="22"/>
      <c r="H14" s="8"/>
      <c r="I14" s="7"/>
      <c r="J14" s="7"/>
      <c r="K14" s="7"/>
      <c r="L14" s="65"/>
      <c r="M14" s="22"/>
    </row>
    <row r="15" spans="1:13" ht="31.5" x14ac:dyDescent="0.25">
      <c r="A15" s="15" t="s">
        <v>4</v>
      </c>
      <c r="B15" s="6"/>
      <c r="C15" s="5"/>
      <c r="D15" s="5"/>
      <c r="E15" s="5"/>
      <c r="F15" s="64"/>
      <c r="G15" s="21"/>
      <c r="H15" s="6"/>
      <c r="I15" s="5"/>
      <c r="J15" s="5"/>
      <c r="K15" s="5"/>
      <c r="L15" s="64"/>
      <c r="M15" s="21"/>
    </row>
    <row r="16" spans="1:13" ht="31.5" x14ac:dyDescent="0.25">
      <c r="A16" s="16" t="s">
        <v>5</v>
      </c>
      <c r="B16" s="8"/>
      <c r="C16" s="7"/>
      <c r="D16" s="7"/>
      <c r="E16" s="7"/>
      <c r="F16" s="65"/>
      <c r="G16" s="22"/>
      <c r="H16" s="8"/>
      <c r="I16" s="7"/>
      <c r="J16" s="7"/>
      <c r="K16" s="7"/>
      <c r="L16" s="65"/>
      <c r="M16" s="22"/>
    </row>
    <row r="17" spans="1:13" ht="31.5" x14ac:dyDescent="0.25">
      <c r="A17" s="15" t="s">
        <v>6</v>
      </c>
      <c r="B17" s="6"/>
      <c r="C17" s="5"/>
      <c r="D17" s="5"/>
      <c r="E17" s="5"/>
      <c r="F17" s="64"/>
      <c r="G17" s="21"/>
      <c r="H17" s="6"/>
      <c r="I17" s="5"/>
      <c r="J17" s="5"/>
      <c r="K17" s="5"/>
      <c r="L17" s="64"/>
      <c r="M17" s="21"/>
    </row>
    <row r="18" spans="1:13" x14ac:dyDescent="0.25">
      <c r="A18" s="39"/>
      <c r="B18" s="27"/>
      <c r="C18" s="28"/>
      <c r="D18" s="28"/>
      <c r="E18" s="28"/>
      <c r="F18" s="28"/>
      <c r="G18" s="29"/>
      <c r="H18" s="27"/>
      <c r="I18" s="28"/>
      <c r="J18" s="28"/>
      <c r="K18" s="28"/>
      <c r="L18" s="28"/>
      <c r="M18" s="29"/>
    </row>
    <row r="19" spans="1:13" x14ac:dyDescent="0.25">
      <c r="A19" s="40"/>
      <c r="B19" s="33" t="s">
        <v>11</v>
      </c>
      <c r="C19" s="34"/>
      <c r="D19" s="34"/>
      <c r="E19" s="34"/>
      <c r="F19" s="60"/>
      <c r="G19" s="35"/>
      <c r="H19" s="33" t="s">
        <v>11</v>
      </c>
      <c r="I19" s="34"/>
      <c r="J19" s="34"/>
      <c r="K19" s="34"/>
      <c r="L19" s="60"/>
      <c r="M19" s="35"/>
    </row>
    <row r="20" spans="1:13" x14ac:dyDescent="0.25">
      <c r="A20" s="41"/>
      <c r="B20" s="10" t="s">
        <v>1</v>
      </c>
      <c r="C20" s="9" t="s">
        <v>2</v>
      </c>
      <c r="D20" s="9" t="s">
        <v>8</v>
      </c>
      <c r="E20" s="9" t="s">
        <v>9</v>
      </c>
      <c r="F20" s="61" t="s">
        <v>25</v>
      </c>
      <c r="G20" s="17" t="s">
        <v>10</v>
      </c>
      <c r="H20" s="10" t="s">
        <v>1</v>
      </c>
      <c r="I20" s="9" t="s">
        <v>2</v>
      </c>
      <c r="J20" s="9" t="s">
        <v>8</v>
      </c>
      <c r="K20" s="9" t="s">
        <v>9</v>
      </c>
      <c r="L20" s="61" t="s">
        <v>25</v>
      </c>
      <c r="M20" s="17" t="s">
        <v>10</v>
      </c>
    </row>
    <row r="21" spans="1:13" x14ac:dyDescent="0.25">
      <c r="A21" s="13" t="s">
        <v>0</v>
      </c>
      <c r="B21" s="3">
        <v>28.2</v>
      </c>
      <c r="C21" s="1">
        <v>35.85</v>
      </c>
      <c r="D21" s="1">
        <v>1076</v>
      </c>
      <c r="E21" s="1">
        <v>837</v>
      </c>
      <c r="F21" s="46">
        <f>B21/C21</f>
        <v>0.78661087866108781</v>
      </c>
      <c r="G21" s="18">
        <v>30.04</v>
      </c>
      <c r="H21" s="3">
        <v>21.2</v>
      </c>
      <c r="I21" s="1">
        <v>24.33</v>
      </c>
      <c r="J21" s="1">
        <v>732</v>
      </c>
      <c r="K21" s="1">
        <v>638</v>
      </c>
      <c r="L21" s="46">
        <f>H21/I21</f>
        <v>0.87135224003288125</v>
      </c>
      <c r="M21" s="18">
        <v>30.09</v>
      </c>
    </row>
    <row r="22" spans="1:13" ht="31.5" x14ac:dyDescent="0.25">
      <c r="A22" s="14" t="s">
        <v>3</v>
      </c>
      <c r="B22" s="4">
        <v>1.73</v>
      </c>
      <c r="C22" s="2">
        <v>59.86</v>
      </c>
      <c r="D22" s="2">
        <v>1797</v>
      </c>
      <c r="E22" s="2">
        <v>52</v>
      </c>
      <c r="F22" s="46">
        <f t="shared" ref="F22:F25" si="2">B22/C22</f>
        <v>2.8900768459739393E-2</v>
      </c>
      <c r="G22" s="19">
        <v>30.02</v>
      </c>
      <c r="H22" s="4">
        <v>7.19</v>
      </c>
      <c r="I22" s="2">
        <v>53.04</v>
      </c>
      <c r="J22" s="2">
        <v>1593</v>
      </c>
      <c r="K22" s="2">
        <v>216</v>
      </c>
      <c r="L22" s="46">
        <f t="shared" ref="L22:L25" si="3">H22/I22</f>
        <v>0.13555806938159881</v>
      </c>
      <c r="M22" s="19">
        <v>30.03</v>
      </c>
    </row>
    <row r="23" spans="1:13" ht="31.5" x14ac:dyDescent="0.25">
      <c r="A23" s="13" t="s">
        <v>4</v>
      </c>
      <c r="B23" s="3">
        <v>13.73</v>
      </c>
      <c r="C23" s="1">
        <v>59.87</v>
      </c>
      <c r="D23" s="1">
        <v>1797</v>
      </c>
      <c r="E23" s="1">
        <v>412</v>
      </c>
      <c r="F23" s="46">
        <f t="shared" si="2"/>
        <v>0.22933021546684484</v>
      </c>
      <c r="G23" s="18">
        <v>30.01</v>
      </c>
      <c r="H23" s="3">
        <v>14.92</v>
      </c>
      <c r="I23" s="1">
        <v>54.62</v>
      </c>
      <c r="J23" s="1">
        <v>1640</v>
      </c>
      <c r="K23" s="1">
        <v>448</v>
      </c>
      <c r="L23" s="46">
        <f t="shared" si="3"/>
        <v>0.27316001464664957</v>
      </c>
      <c r="M23" s="18">
        <v>30.02</v>
      </c>
    </row>
    <row r="24" spans="1:13" ht="31.5" x14ac:dyDescent="0.25">
      <c r="A24" s="14" t="s">
        <v>5</v>
      </c>
      <c r="B24" s="4">
        <v>17.82</v>
      </c>
      <c r="C24" s="2">
        <v>59.85</v>
      </c>
      <c r="D24" s="2">
        <v>1797</v>
      </c>
      <c r="E24" s="2">
        <v>535</v>
      </c>
      <c r="F24" s="46">
        <f t="shared" si="2"/>
        <v>0.29774436090225564</v>
      </c>
      <c r="G24" s="19">
        <v>30.03</v>
      </c>
      <c r="H24" s="4">
        <v>13.82</v>
      </c>
      <c r="I24" s="2">
        <v>51.4</v>
      </c>
      <c r="J24" s="2">
        <v>1546</v>
      </c>
      <c r="K24" s="2">
        <v>415</v>
      </c>
      <c r="L24" s="46">
        <f t="shared" si="3"/>
        <v>0.26887159533073929</v>
      </c>
      <c r="M24" s="19">
        <v>30.02</v>
      </c>
    </row>
    <row r="25" spans="1:13" ht="31.5" x14ac:dyDescent="0.25">
      <c r="A25" s="13" t="s">
        <v>6</v>
      </c>
      <c r="B25" s="3">
        <v>19.920000000000002</v>
      </c>
      <c r="C25" s="1">
        <v>59.87</v>
      </c>
      <c r="D25" s="1">
        <v>1797</v>
      </c>
      <c r="E25" s="1">
        <v>598</v>
      </c>
      <c r="F25" s="46">
        <f t="shared" si="2"/>
        <v>0.33272089527309173</v>
      </c>
      <c r="G25" s="18">
        <v>30.01</v>
      </c>
      <c r="H25" s="3">
        <v>17.98</v>
      </c>
      <c r="I25" s="1">
        <v>49.72</v>
      </c>
      <c r="J25" s="1">
        <v>1493</v>
      </c>
      <c r="K25" s="1">
        <v>540</v>
      </c>
      <c r="L25" s="46">
        <f t="shared" si="3"/>
        <v>0.36162510056315367</v>
      </c>
      <c r="M25" s="18">
        <v>30.03</v>
      </c>
    </row>
  </sheetData>
  <mergeCells count="17">
    <mergeCell ref="A18:A20"/>
    <mergeCell ref="B18:G18"/>
    <mergeCell ref="H18:M18"/>
    <mergeCell ref="B19:G19"/>
    <mergeCell ref="H19:M19"/>
    <mergeCell ref="A10:A12"/>
    <mergeCell ref="B10:G10"/>
    <mergeCell ref="H10:M10"/>
    <mergeCell ref="B11:G11"/>
    <mergeCell ref="H11:M11"/>
    <mergeCell ref="B1:G1"/>
    <mergeCell ref="H1:M1"/>
    <mergeCell ref="A2:A4"/>
    <mergeCell ref="B2:G2"/>
    <mergeCell ref="H2:M2"/>
    <mergeCell ref="B3:G3"/>
    <mergeCell ref="H3:M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5C8F0-7E95-456E-A4F6-D3BE313B320A}">
  <dimension ref="A1:Y43"/>
  <sheetViews>
    <sheetView tabSelected="1" topLeftCell="A11" workbookViewId="0">
      <selection activeCell="I35" sqref="I35"/>
    </sheetView>
  </sheetViews>
  <sheetFormatPr defaultRowHeight="15.75" x14ac:dyDescent="0.25"/>
  <cols>
    <col min="1" max="1" width="22.125" customWidth="1"/>
    <col min="2" max="2" width="10.875" customWidth="1"/>
    <col min="3" max="3" width="11.125" customWidth="1"/>
    <col min="4" max="4" width="15.625" customWidth="1"/>
    <col min="5" max="6" width="15.75" customWidth="1"/>
    <col min="7" max="7" width="10.75" customWidth="1"/>
    <col min="8" max="8" width="15.25" customWidth="1"/>
    <col min="9" max="9" width="15.125" customWidth="1"/>
    <col min="10" max="10" width="10.25" customWidth="1"/>
    <col min="11" max="12" width="15.75" customWidth="1"/>
    <col min="13" max="13" width="14.5" customWidth="1"/>
    <col min="14" max="14" width="11.25" customWidth="1"/>
    <col min="15" max="15" width="11.125" customWidth="1"/>
    <col min="16" max="16" width="15.625" customWidth="1"/>
    <col min="17" max="18" width="15.75" customWidth="1"/>
    <col min="23" max="24" width="15.75" customWidth="1"/>
  </cols>
  <sheetData>
    <row r="1" spans="1:25" x14ac:dyDescent="0.25">
      <c r="A1" s="67"/>
      <c r="B1" s="68" t="s">
        <v>12</v>
      </c>
      <c r="C1" s="69"/>
      <c r="D1" s="69"/>
      <c r="E1" s="69"/>
      <c r="F1" s="69"/>
      <c r="G1" s="70"/>
      <c r="H1" s="71" t="s">
        <v>13</v>
      </c>
      <c r="I1" s="72"/>
      <c r="J1" s="72"/>
      <c r="K1" s="72"/>
      <c r="L1" s="72"/>
      <c r="M1" s="73"/>
      <c r="N1" s="68" t="s">
        <v>12</v>
      </c>
      <c r="O1" s="69"/>
      <c r="P1" s="69"/>
      <c r="Q1" s="69"/>
      <c r="R1" s="69"/>
      <c r="S1" s="70"/>
      <c r="T1" s="71" t="s">
        <v>13</v>
      </c>
      <c r="U1" s="72"/>
      <c r="V1" s="72"/>
      <c r="W1" s="72"/>
      <c r="X1" s="72"/>
      <c r="Y1" s="74"/>
    </row>
    <row r="2" spans="1:25" x14ac:dyDescent="0.25">
      <c r="A2" s="75"/>
      <c r="B2" s="27"/>
      <c r="C2" s="28"/>
      <c r="D2" s="28"/>
      <c r="E2" s="28"/>
      <c r="F2" s="28"/>
      <c r="G2" s="29"/>
      <c r="H2" s="27"/>
      <c r="I2" s="28"/>
      <c r="J2" s="28"/>
      <c r="K2" s="28"/>
      <c r="L2" s="28"/>
      <c r="M2" s="29"/>
      <c r="N2" s="27"/>
      <c r="O2" s="28"/>
      <c r="P2" s="28"/>
      <c r="Q2" s="28"/>
      <c r="R2" s="28"/>
      <c r="S2" s="29"/>
      <c r="T2" s="27"/>
      <c r="U2" s="28"/>
      <c r="V2" s="28"/>
      <c r="W2" s="28"/>
      <c r="X2" s="28"/>
      <c r="Y2" s="76"/>
    </row>
    <row r="3" spans="1:25" x14ac:dyDescent="0.25">
      <c r="A3" s="77"/>
      <c r="B3" s="33" t="s">
        <v>7</v>
      </c>
      <c r="C3" s="34"/>
      <c r="D3" s="34"/>
      <c r="E3" s="34"/>
      <c r="F3" s="60"/>
      <c r="G3" s="35"/>
      <c r="H3" s="33" t="s">
        <v>7</v>
      </c>
      <c r="I3" s="34"/>
      <c r="J3" s="34"/>
      <c r="K3" s="34"/>
      <c r="L3" s="60"/>
      <c r="M3" s="35"/>
      <c r="N3" s="33" t="s">
        <v>7</v>
      </c>
      <c r="O3" s="34"/>
      <c r="P3" s="34"/>
      <c r="Q3" s="34"/>
      <c r="R3" s="60"/>
      <c r="S3" s="35"/>
      <c r="T3" s="33" t="s">
        <v>7</v>
      </c>
      <c r="U3" s="34"/>
      <c r="V3" s="34"/>
      <c r="W3" s="34"/>
      <c r="X3" s="60"/>
      <c r="Y3" s="78"/>
    </row>
    <row r="4" spans="1:25" ht="16.5" thickBot="1" x14ac:dyDescent="0.3">
      <c r="A4" s="77"/>
      <c r="B4" s="43" t="s">
        <v>1</v>
      </c>
      <c r="C4" s="44" t="s">
        <v>2</v>
      </c>
      <c r="D4" s="44" t="s">
        <v>20</v>
      </c>
      <c r="E4" s="44" t="s">
        <v>21</v>
      </c>
      <c r="F4" s="66" t="s">
        <v>23</v>
      </c>
      <c r="G4" s="45" t="s">
        <v>22</v>
      </c>
      <c r="H4" s="43" t="s">
        <v>1</v>
      </c>
      <c r="I4" s="44" t="s">
        <v>2</v>
      </c>
      <c r="J4" s="44" t="s">
        <v>20</v>
      </c>
      <c r="K4" s="44" t="s">
        <v>21</v>
      </c>
      <c r="L4" s="66" t="s">
        <v>23</v>
      </c>
      <c r="M4" s="45" t="s">
        <v>22</v>
      </c>
      <c r="N4" s="47" t="s">
        <v>15</v>
      </c>
      <c r="O4" s="47" t="s">
        <v>16</v>
      </c>
      <c r="P4" s="47" t="s">
        <v>17</v>
      </c>
      <c r="Q4" s="47" t="s">
        <v>18</v>
      </c>
      <c r="R4" s="47" t="s">
        <v>24</v>
      </c>
      <c r="S4" s="47" t="s">
        <v>19</v>
      </c>
      <c r="T4" s="47" t="s">
        <v>15</v>
      </c>
      <c r="U4" s="47" t="s">
        <v>16</v>
      </c>
      <c r="V4" s="47" t="s">
        <v>17</v>
      </c>
      <c r="W4" s="47" t="s">
        <v>18</v>
      </c>
      <c r="X4" s="47" t="s">
        <v>24</v>
      </c>
      <c r="Y4" s="79" t="s">
        <v>19</v>
      </c>
    </row>
    <row r="5" spans="1:25" x14ac:dyDescent="0.25">
      <c r="A5" s="80" t="s">
        <v>0</v>
      </c>
      <c r="B5" s="48">
        <v>27.680000000000003</v>
      </c>
      <c r="C5" s="49">
        <v>31.13</v>
      </c>
      <c r="D5" s="49">
        <v>935.33333333333337</v>
      </c>
      <c r="E5" s="49">
        <v>831.66666666666663</v>
      </c>
      <c r="F5" s="49">
        <v>0.89944827741569533</v>
      </c>
      <c r="G5" s="50">
        <v>30.05</v>
      </c>
      <c r="H5" s="48">
        <v>15.933333333333332</v>
      </c>
      <c r="I5" s="49">
        <v>23.583333333333332</v>
      </c>
      <c r="J5" s="49">
        <v>709.33333333333337</v>
      </c>
      <c r="K5" s="49">
        <v>479.33333333333331</v>
      </c>
      <c r="L5" s="49">
        <v>0.69361626393496023</v>
      </c>
      <c r="M5" s="51">
        <v>30.08</v>
      </c>
      <c r="N5" s="48">
        <v>4.0954486933667917</v>
      </c>
      <c r="O5" s="49">
        <v>6.4200233644434617</v>
      </c>
      <c r="P5" s="49">
        <v>192.64561592035582</v>
      </c>
      <c r="Q5" s="49">
        <v>122.50850310624716</v>
      </c>
      <c r="R5" s="49">
        <v>8.9496912610325302E-2</v>
      </c>
      <c r="S5" s="51">
        <v>1.7320508075687378E-2</v>
      </c>
      <c r="T5" s="48">
        <v>4.0765222105777141</v>
      </c>
      <c r="U5" s="49">
        <v>2.4550424300474591</v>
      </c>
      <c r="V5" s="49">
        <v>73.077584342487214</v>
      </c>
      <c r="W5" s="49">
        <v>123.22472695580751</v>
      </c>
      <c r="X5" s="49">
        <v>0.26025872303602843</v>
      </c>
      <c r="Y5" s="51">
        <v>3.4641016151378858E-2</v>
      </c>
    </row>
    <row r="6" spans="1:25" ht="31.5" x14ac:dyDescent="0.25">
      <c r="A6" s="81" t="s">
        <v>3</v>
      </c>
      <c r="B6" s="85">
        <v>7.9066666666666663</v>
      </c>
      <c r="C6" s="86">
        <v>57.889999999999993</v>
      </c>
      <c r="D6" s="86">
        <v>1738</v>
      </c>
      <c r="E6" s="86">
        <v>90.666666666666671</v>
      </c>
      <c r="F6" s="86">
        <v>0.13228565149822683</v>
      </c>
      <c r="G6" s="88">
        <v>30.02333333333333</v>
      </c>
      <c r="H6" s="85">
        <v>1.5666666666666667</v>
      </c>
      <c r="I6" s="86">
        <v>48.98</v>
      </c>
      <c r="J6" s="86">
        <v>1471</v>
      </c>
      <c r="K6" s="86">
        <v>47</v>
      </c>
      <c r="L6" s="86">
        <v>3.0999794724312548E-2</v>
      </c>
      <c r="M6" s="87">
        <v>30.033333333333331</v>
      </c>
      <c r="N6" s="85">
        <v>8.0485671602673072</v>
      </c>
      <c r="O6" s="86">
        <v>3.2649502293296915</v>
      </c>
      <c r="P6" s="86">
        <v>97.862147942909985</v>
      </c>
      <c r="Q6" s="86">
        <v>121.71414598695311</v>
      </c>
      <c r="R6" s="86">
        <v>0.13468261819681621</v>
      </c>
      <c r="S6" s="87">
        <v>5.77350269189716E-3</v>
      </c>
      <c r="T6" s="85">
        <v>2.5663657832299225</v>
      </c>
      <c r="U6" s="86">
        <v>3.155439747483697</v>
      </c>
      <c r="V6" s="86">
        <v>94.503968170654076</v>
      </c>
      <c r="W6" s="86">
        <v>77.077882690172544</v>
      </c>
      <c r="X6" s="86">
        <v>5.0594795578460472E-2</v>
      </c>
      <c r="Y6" s="87">
        <v>1.154700538379227E-2</v>
      </c>
    </row>
    <row r="7" spans="1:25" ht="31.5" x14ac:dyDescent="0.25">
      <c r="A7" s="80" t="s">
        <v>4</v>
      </c>
      <c r="B7" s="52">
        <v>22.123333333333335</v>
      </c>
      <c r="C7" s="53">
        <v>59.093333333333334</v>
      </c>
      <c r="D7" s="53">
        <v>1773.6666666666667</v>
      </c>
      <c r="E7" s="53">
        <v>664</v>
      </c>
      <c r="F7" s="53">
        <v>0.37466442140561984</v>
      </c>
      <c r="G7" s="54">
        <v>30.013333333333335</v>
      </c>
      <c r="H7" s="52">
        <v>15.383333333333333</v>
      </c>
      <c r="I7" s="53">
        <v>48.286666666666669</v>
      </c>
      <c r="J7" s="53">
        <v>1450</v>
      </c>
      <c r="K7" s="53">
        <v>462</v>
      </c>
      <c r="L7" s="53">
        <v>0.32172913285450039</v>
      </c>
      <c r="M7" s="55">
        <v>30.03</v>
      </c>
      <c r="N7" s="52">
        <v>3.4549867341761491</v>
      </c>
      <c r="O7" s="53">
        <v>1.2068277977132169</v>
      </c>
      <c r="P7" s="53">
        <v>36.087855759705832</v>
      </c>
      <c r="Q7" s="53">
        <v>103.78342834961659</v>
      </c>
      <c r="R7" s="53">
        <v>6.0076007459276104E-2</v>
      </c>
      <c r="S7" s="55">
        <v>5.7735026918951087E-3</v>
      </c>
      <c r="T7" s="52">
        <v>2.5813433195399274</v>
      </c>
      <c r="U7" s="53">
        <v>3.1257372463681801</v>
      </c>
      <c r="V7" s="53">
        <v>93.744333162063725</v>
      </c>
      <c r="W7" s="53">
        <v>77.440299586197369</v>
      </c>
      <c r="X7" s="53">
        <v>7.5938747794610822E-2</v>
      </c>
      <c r="Y7" s="55">
        <v>0</v>
      </c>
    </row>
    <row r="8" spans="1:25" ht="31.5" x14ac:dyDescent="0.25">
      <c r="A8" s="81" t="s">
        <v>5</v>
      </c>
      <c r="B8" s="85">
        <v>21.636666666666667</v>
      </c>
      <c r="C8" s="86">
        <v>57.726666666666667</v>
      </c>
      <c r="D8" s="86">
        <v>1733</v>
      </c>
      <c r="E8" s="86">
        <v>649.66666666666663</v>
      </c>
      <c r="F8" s="86">
        <v>0.37720744777718701</v>
      </c>
      <c r="G8" s="88">
        <v>30.02</v>
      </c>
      <c r="H8" s="85">
        <v>13.979999999999999</v>
      </c>
      <c r="I8" s="86">
        <v>46.353333333333332</v>
      </c>
      <c r="J8" s="86">
        <v>1391.6666666666667</v>
      </c>
      <c r="K8" s="86">
        <v>419.66666666666669</v>
      </c>
      <c r="L8" s="86">
        <v>0.30390808727479701</v>
      </c>
      <c r="M8" s="87">
        <v>30.02333333333333</v>
      </c>
      <c r="N8" s="85">
        <v>6.9357720070179214</v>
      </c>
      <c r="O8" s="86">
        <v>1.8582877423406026</v>
      </c>
      <c r="P8" s="86">
        <v>55.244909267732531</v>
      </c>
      <c r="Q8" s="86">
        <v>208.42584612598642</v>
      </c>
      <c r="R8" s="86">
        <v>0.12832017055031786</v>
      </c>
      <c r="S8" s="87">
        <v>9.9999999999997868E-3</v>
      </c>
      <c r="T8" s="85">
        <v>0.98147847658519771</v>
      </c>
      <c r="U8" s="86">
        <v>3.9424907524727724</v>
      </c>
      <c r="V8" s="86">
        <v>118.34835585395064</v>
      </c>
      <c r="W8" s="86">
        <v>29.501412395567321</v>
      </c>
      <c r="X8" s="86">
        <v>4.2796666897358594E-2</v>
      </c>
      <c r="Y8" s="87">
        <v>5.77350269189716E-3</v>
      </c>
    </row>
    <row r="9" spans="1:25" ht="32.25" thickBot="1" x14ac:dyDescent="0.3">
      <c r="A9" s="80" t="s">
        <v>6</v>
      </c>
      <c r="B9" s="56">
        <v>22.956666666666667</v>
      </c>
      <c r="C9" s="57">
        <v>58.29666666666666</v>
      </c>
      <c r="D9" s="57">
        <v>1749.6666666666667</v>
      </c>
      <c r="E9" s="57">
        <v>689</v>
      </c>
      <c r="F9" s="57">
        <v>0.39442297261768561</v>
      </c>
      <c r="G9" s="58">
        <v>30.01</v>
      </c>
      <c r="H9" s="56">
        <v>14.106666666666667</v>
      </c>
      <c r="I9" s="57">
        <v>47.31</v>
      </c>
      <c r="J9" s="57">
        <v>1420.6666666666667</v>
      </c>
      <c r="K9" s="57">
        <v>423.66666666666669</v>
      </c>
      <c r="L9" s="57">
        <v>0.29789930266252168</v>
      </c>
      <c r="M9" s="59">
        <v>30.03</v>
      </c>
      <c r="N9" s="56">
        <v>1.7173332039337423</v>
      </c>
      <c r="O9" s="57">
        <v>2.7339775663551689</v>
      </c>
      <c r="P9" s="57">
        <v>81.989836768549139</v>
      </c>
      <c r="Q9" s="57">
        <v>51.565492337414952</v>
      </c>
      <c r="R9" s="57">
        <v>3.5099356848635736E-2</v>
      </c>
      <c r="S9" s="59">
        <v>0</v>
      </c>
      <c r="T9" s="56">
        <v>2.5500065359393305</v>
      </c>
      <c r="U9" s="57">
        <v>3.7534517447277795</v>
      </c>
      <c r="V9" s="57">
        <v>112.3046451992674</v>
      </c>
      <c r="W9" s="57">
        <v>76.42861593234116</v>
      </c>
      <c r="X9" s="57">
        <v>4.4634111225790009E-2</v>
      </c>
      <c r="Y9" s="59">
        <v>9.9999999999997868E-3</v>
      </c>
    </row>
    <row r="10" spans="1:25" x14ac:dyDescent="0.25">
      <c r="A10" s="82"/>
      <c r="B10" s="27"/>
      <c r="C10" s="28"/>
      <c r="D10" s="28"/>
      <c r="E10" s="28"/>
      <c r="F10" s="28"/>
      <c r="G10" s="29"/>
      <c r="H10" s="27"/>
      <c r="I10" s="28"/>
      <c r="J10" s="28"/>
      <c r="K10" s="28"/>
      <c r="L10" s="28"/>
      <c r="M10" s="29"/>
      <c r="N10" s="27"/>
      <c r="O10" s="28"/>
      <c r="P10" s="28"/>
      <c r="Q10" s="28"/>
      <c r="R10" s="28"/>
      <c r="S10" s="29"/>
      <c r="T10" s="27"/>
      <c r="U10" s="28"/>
      <c r="V10" s="28"/>
      <c r="W10" s="28"/>
      <c r="X10" s="28"/>
      <c r="Y10" s="76"/>
    </row>
    <row r="11" spans="1:25" x14ac:dyDescent="0.25">
      <c r="A11" s="83"/>
      <c r="B11" s="33" t="s">
        <v>11</v>
      </c>
      <c r="C11" s="34"/>
      <c r="D11" s="34"/>
      <c r="E11" s="34"/>
      <c r="F11" s="60"/>
      <c r="G11" s="35"/>
      <c r="H11" s="33" t="s">
        <v>11</v>
      </c>
      <c r="I11" s="34"/>
      <c r="J11" s="34"/>
      <c r="K11" s="34"/>
      <c r="L11" s="60"/>
      <c r="M11" s="35"/>
      <c r="N11" s="33" t="s">
        <v>11</v>
      </c>
      <c r="O11" s="34"/>
      <c r="P11" s="34"/>
      <c r="Q11" s="34"/>
      <c r="R11" s="60"/>
      <c r="S11" s="35"/>
      <c r="T11" s="33" t="s">
        <v>11</v>
      </c>
      <c r="U11" s="34"/>
      <c r="V11" s="34"/>
      <c r="W11" s="34"/>
      <c r="X11" s="60"/>
      <c r="Y11" s="78"/>
    </row>
    <row r="12" spans="1:25" ht="16.5" thickBot="1" x14ac:dyDescent="0.3">
      <c r="A12" s="75"/>
      <c r="B12" s="43" t="s">
        <v>1</v>
      </c>
      <c r="C12" s="44" t="s">
        <v>2</v>
      </c>
      <c r="D12" s="44" t="s">
        <v>8</v>
      </c>
      <c r="E12" s="44" t="s">
        <v>9</v>
      </c>
      <c r="F12" s="66" t="s">
        <v>23</v>
      </c>
      <c r="G12" s="45" t="s">
        <v>10</v>
      </c>
      <c r="H12" s="43" t="s">
        <v>1</v>
      </c>
      <c r="I12" s="44" t="s">
        <v>2</v>
      </c>
      <c r="J12" s="44" t="s">
        <v>8</v>
      </c>
      <c r="K12" s="44" t="s">
        <v>9</v>
      </c>
      <c r="L12" s="66" t="s">
        <v>23</v>
      </c>
      <c r="M12" s="45" t="s">
        <v>10</v>
      </c>
      <c r="N12" s="47" t="s">
        <v>15</v>
      </c>
      <c r="O12" s="47" t="s">
        <v>16</v>
      </c>
      <c r="P12" s="47" t="s">
        <v>17</v>
      </c>
      <c r="Q12" s="47" t="s">
        <v>18</v>
      </c>
      <c r="R12" s="47" t="s">
        <v>24</v>
      </c>
      <c r="S12" s="47" t="s">
        <v>19</v>
      </c>
      <c r="T12" s="47" t="s">
        <v>15</v>
      </c>
      <c r="U12" s="47" t="s">
        <v>16</v>
      </c>
      <c r="V12" s="47" t="s">
        <v>17</v>
      </c>
      <c r="W12" s="47" t="s">
        <v>18</v>
      </c>
      <c r="X12" s="47" t="s">
        <v>24</v>
      </c>
      <c r="Y12" s="79" t="s">
        <v>19</v>
      </c>
    </row>
    <row r="13" spans="1:25" x14ac:dyDescent="0.25">
      <c r="A13" s="80" t="s">
        <v>0</v>
      </c>
      <c r="B13" s="48">
        <v>31.19</v>
      </c>
      <c r="C13" s="49">
        <v>37.376666666666665</v>
      </c>
      <c r="D13" s="49">
        <v>1122.6666666666667</v>
      </c>
      <c r="E13" s="49">
        <v>933.66666666666663</v>
      </c>
      <c r="F13" s="49">
        <v>0.83353201499187524</v>
      </c>
      <c r="G13" s="51">
        <v>30.046666666666663</v>
      </c>
      <c r="H13" s="48">
        <v>17.066666666666666</v>
      </c>
      <c r="I13" s="49">
        <v>24.72</v>
      </c>
      <c r="J13" s="49">
        <v>743.33333333333337</v>
      </c>
      <c r="K13" s="49">
        <v>513.33333333333337</v>
      </c>
      <c r="L13" s="49">
        <v>0.69166976169665162</v>
      </c>
      <c r="M13" s="51">
        <v>30.073333333333334</v>
      </c>
      <c r="N13" s="48">
        <v>2.5934725755249461</v>
      </c>
      <c r="O13" s="49">
        <v>1.3514560049566293</v>
      </c>
      <c r="P13" s="49">
        <v>41.198705481281003</v>
      </c>
      <c r="Q13" s="49">
        <v>83.811295976934602</v>
      </c>
      <c r="R13" s="49">
        <v>4.0711097773604162E-2</v>
      </c>
      <c r="S13" s="51">
        <v>1.154700538379227E-2</v>
      </c>
      <c r="T13" s="48">
        <v>3.7628358100418446</v>
      </c>
      <c r="U13" s="49">
        <v>0.36013886210738261</v>
      </c>
      <c r="V13" s="49">
        <v>10.598742063723098</v>
      </c>
      <c r="W13" s="49">
        <v>113.49596174901252</v>
      </c>
      <c r="X13" s="49">
        <v>0.16158582757914328</v>
      </c>
      <c r="Y13" s="51">
        <v>1.5275252316519916E-2</v>
      </c>
    </row>
    <row r="14" spans="1:25" ht="31.5" x14ac:dyDescent="0.25">
      <c r="A14" s="81" t="s">
        <v>3</v>
      </c>
      <c r="B14" s="85">
        <v>10.116666666666665</v>
      </c>
      <c r="C14" s="86">
        <v>59.856666666666662</v>
      </c>
      <c r="D14" s="86">
        <v>1275.6666666666667</v>
      </c>
      <c r="E14" s="86">
        <v>824.66666666666663</v>
      </c>
      <c r="F14" s="86">
        <v>0.16902483777472788</v>
      </c>
      <c r="G14" s="87">
        <v>30.016666666666666</v>
      </c>
      <c r="H14" s="85">
        <v>13.843333333333334</v>
      </c>
      <c r="I14" s="86">
        <v>50.74666666666667</v>
      </c>
      <c r="J14" s="86">
        <v>1527.6666666666667</v>
      </c>
      <c r="K14" s="86">
        <v>416</v>
      </c>
      <c r="L14" s="86">
        <v>0.28115730572147207</v>
      </c>
      <c r="M14" s="87">
        <v>30.043333333333333</v>
      </c>
      <c r="N14" s="85">
        <v>9.7602527289683092</v>
      </c>
      <c r="O14" s="86">
        <v>5.7735026918951087E-3</v>
      </c>
      <c r="P14" s="86">
        <v>902.10993417284431</v>
      </c>
      <c r="Q14" s="86">
        <v>889.46969219492428</v>
      </c>
      <c r="R14" s="86">
        <v>0.16308324190108994</v>
      </c>
      <c r="S14" s="87">
        <v>5.7735026918951087E-3</v>
      </c>
      <c r="T14" s="85">
        <v>9.9811138323001476</v>
      </c>
      <c r="U14" s="86">
        <v>2.9269494927882378</v>
      </c>
      <c r="V14" s="86">
        <v>82.470196636926573</v>
      </c>
      <c r="W14" s="86">
        <v>300.04166377354994</v>
      </c>
      <c r="X14" s="86">
        <v>0.21949063100959793</v>
      </c>
      <c r="Y14" s="87">
        <v>1.154700538379227E-2</v>
      </c>
    </row>
    <row r="15" spans="1:25" ht="31.5" x14ac:dyDescent="0.25">
      <c r="A15" s="80" t="s">
        <v>4</v>
      </c>
      <c r="B15" s="52">
        <v>18.816666666666666</v>
      </c>
      <c r="C15" s="53">
        <v>59.406666666666666</v>
      </c>
      <c r="D15" s="53">
        <v>1783</v>
      </c>
      <c r="E15" s="53">
        <v>564.66666666666663</v>
      </c>
      <c r="F15" s="53">
        <v>0.31715846791014218</v>
      </c>
      <c r="G15" s="55">
        <v>30.013333333333335</v>
      </c>
      <c r="H15" s="52">
        <v>14.933333333333335</v>
      </c>
      <c r="I15" s="53">
        <v>53.106666666666662</v>
      </c>
      <c r="J15" s="53">
        <v>1594.3333333333333</v>
      </c>
      <c r="K15" s="53">
        <v>448.33333333333331</v>
      </c>
      <c r="L15" s="53">
        <v>0.28136568997617745</v>
      </c>
      <c r="M15" s="55">
        <v>30.02</v>
      </c>
      <c r="N15" s="52">
        <v>4.4153859778430711</v>
      </c>
      <c r="O15" s="53">
        <v>0.80251687417358009</v>
      </c>
      <c r="P15" s="53">
        <v>24.248711305964282</v>
      </c>
      <c r="Q15" s="53">
        <v>132.51918100159432</v>
      </c>
      <c r="R15" s="53">
        <v>7.6629209774325663E-2</v>
      </c>
      <c r="S15" s="55">
        <v>5.7735026918951087E-3</v>
      </c>
      <c r="T15" s="52">
        <v>1.4500459762825915</v>
      </c>
      <c r="U15" s="53">
        <v>1.3191411347287016</v>
      </c>
      <c r="V15" s="53">
        <v>39.80368492154129</v>
      </c>
      <c r="W15" s="53">
        <v>43.500957843860562</v>
      </c>
      <c r="X15" s="53">
        <v>2.9388270664905E-2</v>
      </c>
      <c r="Y15" s="55">
        <v>0</v>
      </c>
    </row>
    <row r="16" spans="1:25" ht="31.5" x14ac:dyDescent="0.25">
      <c r="A16" s="81" t="s">
        <v>5</v>
      </c>
      <c r="B16" s="85">
        <v>21.896666666666665</v>
      </c>
      <c r="C16" s="86">
        <v>59.860000000000007</v>
      </c>
      <c r="D16" s="86">
        <v>1797</v>
      </c>
      <c r="E16" s="86">
        <v>657.33333333333337</v>
      </c>
      <c r="F16" s="86">
        <v>0.36579382658382764</v>
      </c>
      <c r="G16" s="87">
        <v>30.02</v>
      </c>
      <c r="H16" s="85">
        <v>19.793333333333333</v>
      </c>
      <c r="I16" s="86">
        <v>52.35</v>
      </c>
      <c r="J16" s="86">
        <v>1572.6666666666667</v>
      </c>
      <c r="K16" s="86">
        <v>594.33333333333337</v>
      </c>
      <c r="L16" s="86">
        <v>0.37866007227670267</v>
      </c>
      <c r="M16" s="87">
        <v>30.02333333333333</v>
      </c>
      <c r="N16" s="85">
        <v>3.5723148424142934</v>
      </c>
      <c r="O16" s="86">
        <v>1.7320508075689429E-2</v>
      </c>
      <c r="P16" s="86">
        <v>0</v>
      </c>
      <c r="Q16" s="86">
        <v>107.22095566321619</v>
      </c>
      <c r="R16" s="86">
        <v>5.964696886529447E-2</v>
      </c>
      <c r="S16" s="87">
        <v>9.9999999999997868E-3</v>
      </c>
      <c r="T16" s="85">
        <v>9.2680436626794815</v>
      </c>
      <c r="U16" s="86">
        <v>1.1510430052782579</v>
      </c>
      <c r="V16" s="86">
        <v>33.306655991458129</v>
      </c>
      <c r="W16" s="86">
        <v>278.35468979942368</v>
      </c>
      <c r="X16" s="86">
        <v>0.17944212575527058</v>
      </c>
      <c r="Y16" s="87">
        <v>5.77350269189716E-3</v>
      </c>
    </row>
    <row r="17" spans="1:25" ht="32.25" thickBot="1" x14ac:dyDescent="0.3">
      <c r="A17" s="84" t="s">
        <v>6</v>
      </c>
      <c r="B17" s="56">
        <v>21.923333333333336</v>
      </c>
      <c r="C17" s="57">
        <v>58.449999999999996</v>
      </c>
      <c r="D17" s="57">
        <v>1754.3333333333333</v>
      </c>
      <c r="E17" s="57">
        <v>658</v>
      </c>
      <c r="F17" s="57">
        <v>0.37416871255987383</v>
      </c>
      <c r="G17" s="59">
        <v>30.013333333333335</v>
      </c>
      <c r="H17" s="56">
        <v>18.38</v>
      </c>
      <c r="I17" s="57">
        <v>50.79</v>
      </c>
      <c r="J17" s="57">
        <v>1525.3333333333333</v>
      </c>
      <c r="K17" s="57">
        <v>552</v>
      </c>
      <c r="L17" s="57">
        <v>0.36259024046832894</v>
      </c>
      <c r="M17" s="59">
        <v>30.033333333333331</v>
      </c>
      <c r="N17" s="56">
        <v>4.5118990827957672</v>
      </c>
      <c r="O17" s="57">
        <v>2.4855381711009787</v>
      </c>
      <c r="P17" s="57">
        <v>74.76853170507853</v>
      </c>
      <c r="Q17" s="57">
        <v>135.36986370680884</v>
      </c>
      <c r="R17" s="57">
        <v>6.7666394786671413E-2</v>
      </c>
      <c r="S17" s="59">
        <v>5.7735026918951087E-3</v>
      </c>
      <c r="T17" s="56">
        <v>0.38587562763149452</v>
      </c>
      <c r="U17" s="57">
        <v>3.1637477775574991</v>
      </c>
      <c r="V17" s="57">
        <v>94.732958010047028</v>
      </c>
      <c r="W17" s="57">
        <v>11.532562594670797</v>
      </c>
      <c r="X17" s="57">
        <v>1.8105912786396828E-2</v>
      </c>
      <c r="Y17" s="59">
        <v>5.7735026918951087E-3</v>
      </c>
    </row>
    <row r="20" spans="1:25" x14ac:dyDescent="0.25">
      <c r="B20" s="89" t="s">
        <v>26</v>
      </c>
      <c r="C20" s="89"/>
      <c r="D20" s="89"/>
      <c r="E20" s="89"/>
      <c r="F20" s="89"/>
      <c r="G20" s="89"/>
      <c r="H20" s="89"/>
      <c r="I20" s="89"/>
      <c r="J20" s="90" t="s">
        <v>27</v>
      </c>
      <c r="K20" s="90"/>
      <c r="L20" s="90"/>
      <c r="M20" s="90"/>
      <c r="N20" s="90"/>
      <c r="O20" s="90"/>
      <c r="P20" s="90"/>
      <c r="Q20" s="90"/>
    </row>
    <row r="21" spans="1:25" x14ac:dyDescent="0.25">
      <c r="B21" s="92" t="s">
        <v>7</v>
      </c>
      <c r="C21" s="92"/>
      <c r="D21" s="92"/>
      <c r="E21" s="92"/>
      <c r="F21" s="93" t="s">
        <v>11</v>
      </c>
      <c r="G21" s="93"/>
      <c r="H21" s="93"/>
      <c r="I21" s="93"/>
      <c r="J21" s="92" t="s">
        <v>7</v>
      </c>
      <c r="K21" s="92"/>
      <c r="L21" s="92"/>
      <c r="M21" s="92"/>
      <c r="N21" s="93" t="s">
        <v>11</v>
      </c>
      <c r="O21" s="93"/>
      <c r="P21" s="93"/>
      <c r="Q21" s="93"/>
    </row>
    <row r="22" spans="1:25" x14ac:dyDescent="0.25">
      <c r="A22" s="94" t="s">
        <v>28</v>
      </c>
      <c r="B22" s="95" t="s">
        <v>29</v>
      </c>
      <c r="C22" s="95" t="s">
        <v>30</v>
      </c>
      <c r="D22" s="95" t="s">
        <v>31</v>
      </c>
      <c r="E22" s="95" t="s">
        <v>32</v>
      </c>
      <c r="F22" s="95" t="s">
        <v>33</v>
      </c>
      <c r="G22" s="95" t="s">
        <v>34</v>
      </c>
      <c r="H22" s="95" t="s">
        <v>35</v>
      </c>
      <c r="I22" s="95" t="s">
        <v>36</v>
      </c>
      <c r="J22" s="95" t="s">
        <v>37</v>
      </c>
      <c r="K22" s="95" t="s">
        <v>38</v>
      </c>
      <c r="L22" s="95" t="s">
        <v>39</v>
      </c>
      <c r="M22" s="95" t="s">
        <v>40</v>
      </c>
      <c r="N22" s="95" t="s">
        <v>41</v>
      </c>
      <c r="O22" s="95" t="s">
        <v>42</v>
      </c>
      <c r="P22" s="95" t="s">
        <v>43</v>
      </c>
      <c r="Q22" s="96" t="s">
        <v>44</v>
      </c>
    </row>
    <row r="23" spans="1:25" x14ac:dyDescent="0.25">
      <c r="A23" s="97" t="s">
        <v>0</v>
      </c>
      <c r="B23" s="91">
        <v>31.13</v>
      </c>
      <c r="C23" s="91">
        <v>6.4200233644434617</v>
      </c>
      <c r="D23" s="91">
        <v>0.89944827741569533</v>
      </c>
      <c r="E23" s="91">
        <v>8.9496912610325302E-2</v>
      </c>
      <c r="F23" s="91">
        <v>37.376666666666665</v>
      </c>
      <c r="G23" s="91">
        <v>1.3514560049566293</v>
      </c>
      <c r="H23" s="91">
        <v>0.83353201499187524</v>
      </c>
      <c r="I23" s="91">
        <v>4.0711097773604162E-2</v>
      </c>
      <c r="J23" s="91">
        <v>23.583333333333332</v>
      </c>
      <c r="K23" s="91">
        <v>2.4550424300474591</v>
      </c>
      <c r="L23" s="91">
        <v>0.69361626393496023</v>
      </c>
      <c r="M23" s="91">
        <v>0.26025872303602843</v>
      </c>
      <c r="N23" s="91">
        <v>24.72</v>
      </c>
      <c r="O23" s="91">
        <v>0.36013886210738261</v>
      </c>
      <c r="P23" s="91">
        <v>0.69166976169665162</v>
      </c>
      <c r="Q23" s="98">
        <v>0.16158582757914328</v>
      </c>
    </row>
    <row r="24" spans="1:25" ht="31.5" x14ac:dyDescent="0.25">
      <c r="A24" s="97" t="s">
        <v>3</v>
      </c>
      <c r="B24" s="91">
        <v>57.889999999999993</v>
      </c>
      <c r="C24" s="91">
        <v>3.2649502293296915</v>
      </c>
      <c r="D24" s="91">
        <v>0.13228565149822683</v>
      </c>
      <c r="E24" s="91">
        <v>0.13468261819681621</v>
      </c>
      <c r="F24" s="91">
        <v>59.856666666666662</v>
      </c>
      <c r="G24" s="91">
        <v>5.7735026918951087E-3</v>
      </c>
      <c r="H24" s="91">
        <v>0.16902483777472788</v>
      </c>
      <c r="I24" s="91">
        <v>0.16308324190108994</v>
      </c>
      <c r="J24" s="91">
        <v>48.98</v>
      </c>
      <c r="K24" s="91">
        <v>3.155439747483697</v>
      </c>
      <c r="L24" s="91">
        <v>3.0999794724312548E-2</v>
      </c>
      <c r="M24" s="91">
        <v>5.0594795578460472E-2</v>
      </c>
      <c r="N24" s="91">
        <v>50.74666666666667</v>
      </c>
      <c r="O24" s="91">
        <v>2.9269494927882378</v>
      </c>
      <c r="P24" s="91">
        <v>0.28115730572147207</v>
      </c>
      <c r="Q24" s="98">
        <v>0.21949063100959793</v>
      </c>
    </row>
    <row r="25" spans="1:25" ht="31.5" x14ac:dyDescent="0.25">
      <c r="A25" s="97" t="s">
        <v>4</v>
      </c>
      <c r="B25" s="91">
        <v>59.093333333333334</v>
      </c>
      <c r="C25" s="91">
        <v>1.2068277977132169</v>
      </c>
      <c r="D25" s="91">
        <v>0.37466442140561984</v>
      </c>
      <c r="E25" s="91">
        <v>6.0076007459276104E-2</v>
      </c>
      <c r="F25" s="91">
        <v>59.406666666666666</v>
      </c>
      <c r="G25" s="91">
        <v>0.80251687417358009</v>
      </c>
      <c r="H25" s="91">
        <v>0.31715846791014218</v>
      </c>
      <c r="I25" s="91">
        <v>7.6629209774325663E-2</v>
      </c>
      <c r="J25" s="91">
        <v>48.286666666666669</v>
      </c>
      <c r="K25" s="91">
        <v>3.1257372463681801</v>
      </c>
      <c r="L25" s="91">
        <v>0.32172913285450039</v>
      </c>
      <c r="M25" s="91">
        <v>7.5938747794610822E-2</v>
      </c>
      <c r="N25" s="91">
        <v>53.106666666666662</v>
      </c>
      <c r="O25" s="91">
        <v>1.3191411347287016</v>
      </c>
      <c r="P25" s="91">
        <v>0.28136568997617745</v>
      </c>
      <c r="Q25" s="98">
        <v>2.9388270664905E-2</v>
      </c>
    </row>
    <row r="26" spans="1:25" ht="31.5" x14ac:dyDescent="0.25">
      <c r="A26" s="97" t="s">
        <v>5</v>
      </c>
      <c r="B26" s="91">
        <v>57.726666666666667</v>
      </c>
      <c r="C26" s="91">
        <v>1.8582877423406026</v>
      </c>
      <c r="D26" s="91">
        <v>0.37720744777718701</v>
      </c>
      <c r="E26" s="91">
        <v>0.12832017055031786</v>
      </c>
      <c r="F26" s="91">
        <v>59.860000000000007</v>
      </c>
      <c r="G26" s="91">
        <v>1.7320508075689429E-2</v>
      </c>
      <c r="H26" s="91">
        <v>0.36579382658382764</v>
      </c>
      <c r="I26" s="91">
        <v>5.964696886529447E-2</v>
      </c>
      <c r="J26" s="91">
        <v>46.353333333333332</v>
      </c>
      <c r="K26" s="91">
        <v>3.9424907524727724</v>
      </c>
      <c r="L26" s="91">
        <v>0.30390808727479701</v>
      </c>
      <c r="M26" s="91">
        <v>4.2796666897358594E-2</v>
      </c>
      <c r="N26" s="91">
        <v>52.35</v>
      </c>
      <c r="O26" s="91">
        <v>1.1510430052782579</v>
      </c>
      <c r="P26" s="91">
        <v>0.37866007227670267</v>
      </c>
      <c r="Q26" s="98">
        <v>0.17944212575527058</v>
      </c>
    </row>
    <row r="27" spans="1:25" ht="31.5" x14ac:dyDescent="0.25">
      <c r="A27" s="99" t="s">
        <v>6</v>
      </c>
      <c r="B27" s="100">
        <v>58.29666666666666</v>
      </c>
      <c r="C27" s="100">
        <v>2.7339775663551689</v>
      </c>
      <c r="D27" s="100">
        <v>0.39442297261768561</v>
      </c>
      <c r="E27" s="100">
        <v>3.5099356848635736E-2</v>
      </c>
      <c r="F27" s="100">
        <v>58.449999999999996</v>
      </c>
      <c r="G27" s="100">
        <v>2.4855381711009787</v>
      </c>
      <c r="H27" s="100">
        <v>0.37416871255987383</v>
      </c>
      <c r="I27" s="100">
        <v>6.7666394786671413E-2</v>
      </c>
      <c r="J27" s="100">
        <v>47.31</v>
      </c>
      <c r="K27" s="100">
        <v>3.7534517447277795</v>
      </c>
      <c r="L27" s="100">
        <v>0.29789930266252168</v>
      </c>
      <c r="M27" s="100">
        <v>4.4634111225790009E-2</v>
      </c>
      <c r="N27" s="100">
        <v>50.79</v>
      </c>
      <c r="O27" s="100">
        <v>3.1637477775574991</v>
      </c>
      <c r="P27" s="100">
        <v>0.36259024046832894</v>
      </c>
      <c r="Q27" s="101">
        <v>1.8105912786396828E-2</v>
      </c>
    </row>
    <row r="29" spans="1:25" x14ac:dyDescent="0.25">
      <c r="B29" s="92" t="s">
        <v>7</v>
      </c>
      <c r="C29" s="92"/>
      <c r="D29" s="92"/>
      <c r="E29" s="92"/>
      <c r="F29" s="93" t="s">
        <v>11</v>
      </c>
      <c r="G29" s="93"/>
      <c r="H29" s="93"/>
      <c r="I29" s="93"/>
    </row>
    <row r="30" spans="1:25" x14ac:dyDescent="0.25">
      <c r="A30" s="108" t="s">
        <v>28</v>
      </c>
      <c r="B30" s="109" t="s">
        <v>53</v>
      </c>
      <c r="C30" s="109" t="s">
        <v>54</v>
      </c>
      <c r="D30" s="109" t="s">
        <v>55</v>
      </c>
      <c r="E30" s="109" t="s">
        <v>56</v>
      </c>
      <c r="F30" s="109" t="s">
        <v>57</v>
      </c>
      <c r="G30" s="109" t="s">
        <v>58</v>
      </c>
      <c r="H30" s="109" t="s">
        <v>59</v>
      </c>
      <c r="I30" s="109" t="s">
        <v>60</v>
      </c>
    </row>
    <row r="31" spans="1:25" x14ac:dyDescent="0.25">
      <c r="A31" s="106" t="s">
        <v>0</v>
      </c>
      <c r="B31" s="110">
        <f t="shared" ref="B31:B35" si="0">AVERAGE(B23, J23)</f>
        <v>27.356666666666666</v>
      </c>
      <c r="C31" s="110">
        <f t="shared" ref="C31:C35" si="1">AVERAGE(C23, K23)</f>
        <v>4.4375328972454602</v>
      </c>
      <c r="D31" s="110">
        <f t="shared" ref="D31:D35" si="2">AVERAGE(D23, L23)</f>
        <v>0.79653227067532772</v>
      </c>
      <c r="E31" s="110">
        <f t="shared" ref="E31:E35" si="3">AVERAGE(E23, M23)</f>
        <v>0.17487781782317685</v>
      </c>
      <c r="F31" s="110">
        <f t="shared" ref="F31:F35" si="4">AVERAGE(F23, N23)</f>
        <v>31.048333333333332</v>
      </c>
      <c r="G31" s="110">
        <f t="shared" ref="G31:G35" si="5">AVERAGE(G23, O23)</f>
        <v>0.85579743353200599</v>
      </c>
      <c r="H31" s="110">
        <f t="shared" ref="H31:H35" si="6">AVERAGE(H23, P23)</f>
        <v>0.76260088834426343</v>
      </c>
      <c r="I31" s="110">
        <f t="shared" ref="I31:I35" si="7">AVERAGE(I23, Q23)</f>
        <v>0.10114846267637372</v>
      </c>
    </row>
    <row r="32" spans="1:25" ht="31.5" x14ac:dyDescent="0.25">
      <c r="A32" s="107" t="s">
        <v>3</v>
      </c>
      <c r="B32" s="110">
        <f t="shared" si="0"/>
        <v>53.434999999999995</v>
      </c>
      <c r="C32" s="110">
        <f t="shared" si="1"/>
        <v>3.2101949884066943</v>
      </c>
      <c r="D32" s="110">
        <f t="shared" si="2"/>
        <v>8.1642723111269688E-2</v>
      </c>
      <c r="E32" s="110">
        <f t="shared" si="3"/>
        <v>9.2638706887638339E-2</v>
      </c>
      <c r="F32" s="110">
        <f t="shared" si="4"/>
        <v>55.301666666666662</v>
      </c>
      <c r="G32" s="110">
        <f t="shared" si="5"/>
        <v>1.4663614977400665</v>
      </c>
      <c r="H32" s="110">
        <f t="shared" si="6"/>
        <v>0.22509107174809997</v>
      </c>
      <c r="I32" s="110">
        <f t="shared" si="7"/>
        <v>0.19128693645534395</v>
      </c>
    </row>
    <row r="33" spans="1:13" ht="31.5" x14ac:dyDescent="0.25">
      <c r="A33" s="106" t="s">
        <v>4</v>
      </c>
      <c r="B33" s="110">
        <f t="shared" si="0"/>
        <v>53.69</v>
      </c>
      <c r="C33" s="110">
        <f t="shared" si="1"/>
        <v>2.1662825220406985</v>
      </c>
      <c r="D33" s="110">
        <f t="shared" si="2"/>
        <v>0.34819677713006014</v>
      </c>
      <c r="E33" s="110">
        <f t="shared" si="3"/>
        <v>6.8007377626943463E-2</v>
      </c>
      <c r="F33" s="110">
        <f t="shared" si="4"/>
        <v>56.256666666666661</v>
      </c>
      <c r="G33" s="110">
        <f t="shared" si="5"/>
        <v>1.0608290044511408</v>
      </c>
      <c r="H33" s="110">
        <f t="shared" si="6"/>
        <v>0.29926207894315981</v>
      </c>
      <c r="I33" s="110">
        <f t="shared" si="7"/>
        <v>5.3008740219615332E-2</v>
      </c>
    </row>
    <row r="34" spans="1:13" ht="31.5" x14ac:dyDescent="0.25">
      <c r="A34" s="107" t="s">
        <v>5</v>
      </c>
      <c r="B34" s="110">
        <f t="shared" si="0"/>
        <v>52.04</v>
      </c>
      <c r="C34" s="110">
        <f t="shared" si="1"/>
        <v>2.9003892474066877</v>
      </c>
      <c r="D34" s="110">
        <f t="shared" si="2"/>
        <v>0.34055776752599198</v>
      </c>
      <c r="E34" s="110">
        <f t="shared" si="3"/>
        <v>8.5558418723838223E-2</v>
      </c>
      <c r="F34" s="110">
        <f t="shared" si="4"/>
        <v>56.105000000000004</v>
      </c>
      <c r="G34" s="110">
        <f t="shared" si="5"/>
        <v>0.5841817566769737</v>
      </c>
      <c r="H34" s="110">
        <f t="shared" si="6"/>
        <v>0.37222694943026513</v>
      </c>
      <c r="I34" s="110">
        <f t="shared" si="7"/>
        <v>0.11954454731028252</v>
      </c>
    </row>
    <row r="35" spans="1:13" ht="31.5" x14ac:dyDescent="0.25">
      <c r="A35" s="106" t="s">
        <v>6</v>
      </c>
      <c r="B35" s="110">
        <f t="shared" si="0"/>
        <v>52.803333333333327</v>
      </c>
      <c r="C35" s="110">
        <f t="shared" si="1"/>
        <v>3.2437146555414742</v>
      </c>
      <c r="D35" s="110">
        <f t="shared" si="2"/>
        <v>0.34616113764010364</v>
      </c>
      <c r="E35" s="110">
        <f t="shared" si="3"/>
        <v>3.9866734037212873E-2</v>
      </c>
      <c r="F35" s="110">
        <f t="shared" si="4"/>
        <v>54.62</v>
      </c>
      <c r="G35" s="110">
        <f t="shared" si="5"/>
        <v>2.8246429743292389</v>
      </c>
      <c r="H35" s="110">
        <f t="shared" si="6"/>
        <v>0.36837947651410141</v>
      </c>
      <c r="I35" s="110">
        <f t="shared" si="7"/>
        <v>4.2886153786534119E-2</v>
      </c>
    </row>
    <row r="37" spans="1:13" x14ac:dyDescent="0.25">
      <c r="B37" s="102" t="s">
        <v>26</v>
      </c>
      <c r="C37" s="103"/>
      <c r="D37" s="103"/>
      <c r="E37" s="104"/>
      <c r="F37" s="90" t="s">
        <v>27</v>
      </c>
      <c r="G37" s="90"/>
      <c r="H37" s="90"/>
      <c r="I37" s="90"/>
      <c r="J37" s="105"/>
      <c r="K37" s="105"/>
      <c r="L37" s="105"/>
      <c r="M37" s="105"/>
    </row>
    <row r="38" spans="1:13" x14ac:dyDescent="0.25">
      <c r="A38" s="108" t="s">
        <v>28</v>
      </c>
      <c r="B38" s="109" t="s">
        <v>45</v>
      </c>
      <c r="C38" s="109" t="s">
        <v>46</v>
      </c>
      <c r="D38" s="109" t="s">
        <v>47</v>
      </c>
      <c r="E38" s="109" t="s">
        <v>48</v>
      </c>
      <c r="F38" s="109" t="s">
        <v>49</v>
      </c>
      <c r="G38" s="109" t="s">
        <v>50</v>
      </c>
      <c r="H38" s="109" t="s">
        <v>51</v>
      </c>
      <c r="I38" s="109" t="s">
        <v>52</v>
      </c>
    </row>
    <row r="39" spans="1:13" x14ac:dyDescent="0.25">
      <c r="A39" s="106" t="s">
        <v>0</v>
      </c>
      <c r="B39" s="110">
        <f t="shared" ref="B39:B43" si="8">AVERAGE(B23, F23)</f>
        <v>34.25333333333333</v>
      </c>
      <c r="C39" s="110">
        <f t="shared" ref="C39:C43" si="9">AVERAGE(C23, G23)</f>
        <v>3.8857396847000456</v>
      </c>
      <c r="D39" s="110">
        <f t="shared" ref="D39:D43" si="10">AVERAGE(D23, H23)</f>
        <v>0.86649014620378528</v>
      </c>
      <c r="E39" s="110">
        <f t="shared" ref="E39:E43" si="11">AVERAGE(E23, I23)</f>
        <v>6.5104005191964728E-2</v>
      </c>
      <c r="F39" s="110">
        <f t="shared" ref="F39:F43" si="12">AVERAGE(J23, N23)</f>
        <v>24.151666666666664</v>
      </c>
      <c r="G39" s="110">
        <f>AVERAGE(K23, O23)</f>
        <v>1.4075906460774208</v>
      </c>
      <c r="H39" s="110">
        <f t="shared" ref="H39:H43" si="13">AVERAGE(L23, P23)</f>
        <v>0.69264301281580587</v>
      </c>
      <c r="I39" s="110">
        <f t="shared" ref="I39:I43" si="14">AVERAGE(M23, Q23)</f>
        <v>0.21092227530758584</v>
      </c>
    </row>
    <row r="40" spans="1:13" ht="31.5" x14ac:dyDescent="0.25">
      <c r="A40" s="107" t="s">
        <v>3</v>
      </c>
      <c r="B40" s="110">
        <f t="shared" si="8"/>
        <v>58.873333333333328</v>
      </c>
      <c r="C40" s="110">
        <f t="shared" si="9"/>
        <v>1.6353618660107934</v>
      </c>
      <c r="D40" s="110">
        <f t="shared" si="10"/>
        <v>0.15065524463647734</v>
      </c>
      <c r="E40" s="110">
        <f t="shared" si="11"/>
        <v>0.14888293004895309</v>
      </c>
      <c r="F40" s="110">
        <f t="shared" si="12"/>
        <v>49.86333333333333</v>
      </c>
      <c r="G40" s="110">
        <f t="shared" ref="G39:G43" si="15">AVERAGE(K24, O24)</f>
        <v>3.0411946201359674</v>
      </c>
      <c r="H40" s="110">
        <f t="shared" si="13"/>
        <v>0.1560785502228923</v>
      </c>
      <c r="I40" s="110">
        <f t="shared" si="14"/>
        <v>0.1350427132940292</v>
      </c>
    </row>
    <row r="41" spans="1:13" ht="31.5" x14ac:dyDescent="0.25">
      <c r="A41" s="106" t="s">
        <v>4</v>
      </c>
      <c r="B41" s="110">
        <f t="shared" si="8"/>
        <v>59.25</v>
      </c>
      <c r="C41" s="110">
        <f t="shared" si="9"/>
        <v>1.0046723359433984</v>
      </c>
      <c r="D41" s="110">
        <f t="shared" si="10"/>
        <v>0.34591144465788104</v>
      </c>
      <c r="E41" s="110">
        <f t="shared" si="11"/>
        <v>6.8352608616800883E-2</v>
      </c>
      <c r="F41" s="110">
        <f t="shared" si="12"/>
        <v>50.696666666666665</v>
      </c>
      <c r="G41" s="110">
        <f t="shared" si="15"/>
        <v>2.2224391905484406</v>
      </c>
      <c r="H41" s="110">
        <f t="shared" si="13"/>
        <v>0.30154741141533892</v>
      </c>
      <c r="I41" s="110">
        <f t="shared" si="14"/>
        <v>5.2663509229757911E-2</v>
      </c>
    </row>
    <row r="42" spans="1:13" ht="31.5" x14ac:dyDescent="0.25">
      <c r="A42" s="107" t="s">
        <v>5</v>
      </c>
      <c r="B42" s="110">
        <f t="shared" si="8"/>
        <v>58.793333333333337</v>
      </c>
      <c r="C42" s="110">
        <f t="shared" si="9"/>
        <v>0.93780412520814604</v>
      </c>
      <c r="D42" s="110">
        <f t="shared" si="10"/>
        <v>0.3715006371805073</v>
      </c>
      <c r="E42" s="110">
        <f t="shared" si="11"/>
        <v>9.3983569707806164E-2</v>
      </c>
      <c r="F42" s="110">
        <f t="shared" si="12"/>
        <v>49.351666666666667</v>
      </c>
      <c r="G42" s="110">
        <f t="shared" si="15"/>
        <v>2.5467668788755153</v>
      </c>
      <c r="H42" s="110">
        <f t="shared" si="13"/>
        <v>0.34128407977574982</v>
      </c>
      <c r="I42" s="110">
        <f t="shared" si="14"/>
        <v>0.11111939632631458</v>
      </c>
    </row>
    <row r="43" spans="1:13" ht="31.5" x14ac:dyDescent="0.25">
      <c r="A43" s="106" t="s">
        <v>6</v>
      </c>
      <c r="B43" s="110">
        <f t="shared" si="8"/>
        <v>58.373333333333328</v>
      </c>
      <c r="C43" s="110">
        <f t="shared" si="9"/>
        <v>2.6097578687280736</v>
      </c>
      <c r="D43" s="110">
        <f t="shared" si="10"/>
        <v>0.38429584258877969</v>
      </c>
      <c r="E43" s="110">
        <f t="shared" si="11"/>
        <v>5.1382875817653578E-2</v>
      </c>
      <c r="F43" s="110">
        <f t="shared" si="12"/>
        <v>49.05</v>
      </c>
      <c r="G43" s="110">
        <f t="shared" si="15"/>
        <v>3.4585997611426391</v>
      </c>
      <c r="H43" s="110">
        <f t="shared" si="13"/>
        <v>0.33024477156542531</v>
      </c>
      <c r="I43" s="110">
        <f t="shared" si="14"/>
        <v>3.137001200609342E-2</v>
      </c>
    </row>
  </sheetData>
  <mergeCells count="32">
    <mergeCell ref="B29:E29"/>
    <mergeCell ref="F29:I29"/>
    <mergeCell ref="B37:E37"/>
    <mergeCell ref="F37:I37"/>
    <mergeCell ref="B21:E21"/>
    <mergeCell ref="F21:I21"/>
    <mergeCell ref="B20:I20"/>
    <mergeCell ref="J21:M21"/>
    <mergeCell ref="N21:Q21"/>
    <mergeCell ref="J20:Q20"/>
    <mergeCell ref="N11:S11"/>
    <mergeCell ref="T11:Y11"/>
    <mergeCell ref="N10:S10"/>
    <mergeCell ref="T10:Y10"/>
    <mergeCell ref="N1:S1"/>
    <mergeCell ref="T1:Y1"/>
    <mergeCell ref="N2:S2"/>
    <mergeCell ref="T2:Y2"/>
    <mergeCell ref="N3:S3"/>
    <mergeCell ref="T3:Y3"/>
    <mergeCell ref="A10:A12"/>
    <mergeCell ref="B10:G10"/>
    <mergeCell ref="H10:M10"/>
    <mergeCell ref="B11:G11"/>
    <mergeCell ref="H11:M11"/>
    <mergeCell ref="B1:G1"/>
    <mergeCell ref="H1:M1"/>
    <mergeCell ref="A2:A4"/>
    <mergeCell ref="B2:G2"/>
    <mergeCell ref="H2:M2"/>
    <mergeCell ref="B3:G3"/>
    <mergeCell ref="H3:M3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Attempt 1</vt:lpstr>
      <vt:lpstr>Attempt 2</vt:lpstr>
      <vt:lpstr>Attempt 3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Strzelczyk</dc:creator>
  <cp:lastModifiedBy>Lucas Jonathan Hartman</cp:lastModifiedBy>
  <dcterms:created xsi:type="dcterms:W3CDTF">2025-02-07T19:59:35Z</dcterms:created>
  <dcterms:modified xsi:type="dcterms:W3CDTF">2025-02-09T01:30:19Z</dcterms:modified>
</cp:coreProperties>
</file>